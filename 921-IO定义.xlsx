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925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106" i="1"/>
  <c r="L105" s="1"/>
  <c r="N80"/>
</calcChain>
</file>

<file path=xl/sharedStrings.xml><?xml version="1.0" encoding="utf-8"?>
<sst xmlns="http://schemas.openxmlformats.org/spreadsheetml/2006/main" count="684" uniqueCount="323">
  <si>
    <t>X0</t>
    <phoneticPr fontId="1" type="noConversion"/>
  </si>
  <si>
    <t>X1</t>
    <phoneticPr fontId="1" type="noConversion"/>
  </si>
  <si>
    <t>X2</t>
  </si>
  <si>
    <t>X3</t>
  </si>
  <si>
    <t>X4</t>
  </si>
  <si>
    <t>X8</t>
  </si>
  <si>
    <t>X9</t>
  </si>
  <si>
    <t>X10</t>
  </si>
  <si>
    <t>X11</t>
  </si>
  <si>
    <t>X12</t>
  </si>
  <si>
    <t>X13</t>
  </si>
  <si>
    <t>X14</t>
  </si>
  <si>
    <t>X15</t>
  </si>
  <si>
    <t>X32</t>
  </si>
  <si>
    <t>X33</t>
  </si>
  <si>
    <t>X38</t>
  </si>
  <si>
    <t>X39</t>
  </si>
  <si>
    <t>传送带位置1</t>
    <phoneticPr fontId="1" type="noConversion"/>
  </si>
  <si>
    <t>X40</t>
  </si>
  <si>
    <t>X42</t>
  </si>
  <si>
    <t>X43</t>
  </si>
  <si>
    <t>X44</t>
  </si>
  <si>
    <t>气爪2-2开</t>
    <phoneticPr fontId="1" type="noConversion"/>
  </si>
  <si>
    <t>气爪4-2开</t>
    <phoneticPr fontId="1" type="noConversion"/>
  </si>
  <si>
    <t>气爪5-2开</t>
    <phoneticPr fontId="1" type="noConversion"/>
  </si>
  <si>
    <t>X45</t>
  </si>
  <si>
    <t>X52</t>
  </si>
  <si>
    <t>X53</t>
  </si>
  <si>
    <t>X54</t>
  </si>
  <si>
    <t>X55</t>
  </si>
  <si>
    <t>备用</t>
    <phoneticPr fontId="1" type="noConversion"/>
  </si>
  <si>
    <t>X6</t>
    <phoneticPr fontId="1" type="noConversion"/>
  </si>
  <si>
    <t>X17</t>
    <phoneticPr fontId="1" type="noConversion"/>
  </si>
  <si>
    <t>X58</t>
  </si>
  <si>
    <t>X59</t>
  </si>
  <si>
    <t>X60</t>
  </si>
  <si>
    <t>X61</t>
  </si>
  <si>
    <t>X62</t>
  </si>
  <si>
    <t>X63</t>
  </si>
  <si>
    <t>Q0</t>
    <phoneticPr fontId="1" type="noConversion"/>
  </si>
  <si>
    <t>Q1</t>
    <phoneticPr fontId="1" type="noConversion"/>
  </si>
  <si>
    <t>Q2</t>
    <phoneticPr fontId="1" type="noConversion"/>
  </si>
  <si>
    <t>Q3</t>
  </si>
  <si>
    <t>Q4</t>
  </si>
  <si>
    <t>Q16</t>
    <phoneticPr fontId="1" type="noConversion"/>
  </si>
  <si>
    <t>Q17</t>
    <phoneticPr fontId="1" type="noConversion"/>
  </si>
  <si>
    <t>X67</t>
  </si>
  <si>
    <t>X68</t>
  </si>
  <si>
    <t>X69</t>
  </si>
  <si>
    <t>X70</t>
  </si>
  <si>
    <t>X71</t>
  </si>
  <si>
    <t>X73</t>
  </si>
  <si>
    <t>X74</t>
  </si>
  <si>
    <t>X75</t>
  </si>
  <si>
    <t>X76</t>
  </si>
  <si>
    <t>气爪2-1开</t>
    <phoneticPr fontId="1" type="noConversion"/>
  </si>
  <si>
    <t>气爪3-1开</t>
    <phoneticPr fontId="1" type="noConversion"/>
  </si>
  <si>
    <t>气爪4-1开</t>
    <phoneticPr fontId="1" type="noConversion"/>
  </si>
  <si>
    <t>气爪5-1开</t>
    <phoneticPr fontId="1" type="noConversion"/>
  </si>
  <si>
    <t>16路模块</t>
    <phoneticPr fontId="1" type="noConversion"/>
  </si>
  <si>
    <t>X5</t>
    <phoneticPr fontId="1" type="noConversion"/>
  </si>
  <si>
    <t>Q5</t>
    <phoneticPr fontId="1" type="noConversion"/>
  </si>
  <si>
    <t>Q10</t>
  </si>
  <si>
    <t>X27</t>
  </si>
  <si>
    <t>X34</t>
  </si>
  <si>
    <t>X46</t>
  </si>
  <si>
    <t>X77</t>
  </si>
  <si>
    <t>灯</t>
    <phoneticPr fontId="1" type="noConversion"/>
  </si>
  <si>
    <t>X78</t>
  </si>
  <si>
    <t>X79</t>
  </si>
  <si>
    <t>X81</t>
  </si>
  <si>
    <t>X82</t>
  </si>
  <si>
    <t>X83</t>
  </si>
  <si>
    <t>X84</t>
  </si>
  <si>
    <t>X85</t>
  </si>
  <si>
    <t>X86</t>
  </si>
  <si>
    <t>X87</t>
  </si>
  <si>
    <t>1-2#有料</t>
    <phoneticPr fontId="1" type="noConversion"/>
  </si>
  <si>
    <t>X19</t>
  </si>
  <si>
    <t>X20</t>
  </si>
  <si>
    <t>X23</t>
  </si>
  <si>
    <t>X28</t>
  </si>
  <si>
    <t>X29</t>
  </si>
  <si>
    <t>X35</t>
  </si>
  <si>
    <t>X36</t>
  </si>
  <si>
    <t>X47</t>
  </si>
  <si>
    <t>5-2#有料</t>
    <phoneticPr fontId="1" type="noConversion"/>
  </si>
  <si>
    <t>输出</t>
    <phoneticPr fontId="1" type="noConversion"/>
  </si>
  <si>
    <t>输入</t>
    <phoneticPr fontId="1" type="noConversion"/>
  </si>
  <si>
    <t>启动</t>
    <phoneticPr fontId="1" type="noConversion"/>
  </si>
  <si>
    <t>安全光栅</t>
    <phoneticPr fontId="1" type="noConversion"/>
  </si>
  <si>
    <t>Q6</t>
  </si>
  <si>
    <t>保留</t>
    <phoneticPr fontId="1" type="noConversion"/>
  </si>
  <si>
    <t>H450</t>
  </si>
  <si>
    <t>H450</t>
    <phoneticPr fontId="1" type="noConversion"/>
  </si>
  <si>
    <t>模块1</t>
  </si>
  <si>
    <t>模块1</t>
    <phoneticPr fontId="1" type="noConversion"/>
  </si>
  <si>
    <t>模块2</t>
  </si>
  <si>
    <t>模块3</t>
  </si>
  <si>
    <t>模块4</t>
  </si>
  <si>
    <t>模块5</t>
  </si>
  <si>
    <t>模块6</t>
  </si>
  <si>
    <t>X7</t>
    <phoneticPr fontId="1" type="noConversion"/>
  </si>
  <si>
    <t>X16</t>
    <phoneticPr fontId="1" type="noConversion"/>
  </si>
  <si>
    <t>X18</t>
  </si>
  <si>
    <t>模块2</t>
    <phoneticPr fontId="1" type="noConversion"/>
  </si>
  <si>
    <t>Q8</t>
    <phoneticPr fontId="1" type="noConversion"/>
  </si>
  <si>
    <t>Q11</t>
  </si>
  <si>
    <t>Q12</t>
  </si>
  <si>
    <t>Q13</t>
  </si>
  <si>
    <t>Q14</t>
  </si>
  <si>
    <t>Q15</t>
  </si>
  <si>
    <t>T082</t>
  </si>
  <si>
    <t>T082</t>
    <phoneticPr fontId="1" type="noConversion"/>
  </si>
  <si>
    <t>Q18</t>
  </si>
  <si>
    <t>继电器</t>
    <phoneticPr fontId="1" type="noConversion"/>
  </si>
  <si>
    <t>X26</t>
  </si>
  <si>
    <t>X30</t>
  </si>
  <si>
    <t>X31</t>
  </si>
  <si>
    <t>模块3</t>
    <phoneticPr fontId="1" type="noConversion"/>
  </si>
  <si>
    <t>Q19</t>
  </si>
  <si>
    <t>Q20</t>
  </si>
  <si>
    <t>Q21</t>
  </si>
  <si>
    <t>X49</t>
  </si>
  <si>
    <t>X50</t>
  </si>
  <si>
    <t>X21</t>
  </si>
  <si>
    <t>X22</t>
  </si>
  <si>
    <t>X24</t>
    <phoneticPr fontId="1" type="noConversion"/>
  </si>
  <si>
    <t>X25</t>
    <phoneticPr fontId="1" type="noConversion"/>
  </si>
  <si>
    <t>X41</t>
    <phoneticPr fontId="1" type="noConversion"/>
  </si>
  <si>
    <t>Q26</t>
  </si>
  <si>
    <t>Q27</t>
  </si>
  <si>
    <t>Q29</t>
  </si>
  <si>
    <t>Q30</t>
  </si>
  <si>
    <t>Q31</t>
  </si>
  <si>
    <t>模块4</t>
    <phoneticPr fontId="1" type="noConversion"/>
  </si>
  <si>
    <t>X48</t>
    <phoneticPr fontId="1" type="noConversion"/>
  </si>
  <si>
    <t>X51</t>
  </si>
  <si>
    <t>X65</t>
  </si>
  <si>
    <t>X66</t>
  </si>
  <si>
    <t>X56</t>
    <phoneticPr fontId="1" type="noConversion"/>
  </si>
  <si>
    <t>X57</t>
    <phoneticPr fontId="1" type="noConversion"/>
  </si>
  <si>
    <t>X64</t>
    <phoneticPr fontId="1" type="noConversion"/>
  </si>
  <si>
    <t>X72</t>
    <phoneticPr fontId="1" type="noConversion"/>
  </si>
  <si>
    <t>X80</t>
    <phoneticPr fontId="1" type="noConversion"/>
  </si>
  <si>
    <t>模块5</t>
    <phoneticPr fontId="1" type="noConversion"/>
  </si>
  <si>
    <t>模块6</t>
    <phoneticPr fontId="1" type="noConversion"/>
  </si>
  <si>
    <t>取料气爪开</t>
    <phoneticPr fontId="1" type="noConversion"/>
  </si>
  <si>
    <t>Q9</t>
  </si>
  <si>
    <t>放料台气缸关</t>
    <phoneticPr fontId="1" type="noConversion"/>
  </si>
  <si>
    <t>模块3</t>
    <phoneticPr fontId="1" type="noConversion"/>
  </si>
  <si>
    <t>X37</t>
    <phoneticPr fontId="1" type="noConversion"/>
  </si>
  <si>
    <t>气爪1-2开</t>
    <phoneticPr fontId="1" type="noConversion"/>
  </si>
  <si>
    <t>旋转气缸2关</t>
    <phoneticPr fontId="1" type="noConversion"/>
  </si>
  <si>
    <t>Q34</t>
  </si>
  <si>
    <t>Q37</t>
  </si>
  <si>
    <t>Q38</t>
  </si>
  <si>
    <t>Q39</t>
  </si>
  <si>
    <t>Q42</t>
  </si>
  <si>
    <t>Q44</t>
  </si>
  <si>
    <t>Q45</t>
  </si>
  <si>
    <t>气爪1-1开</t>
    <phoneticPr fontId="1" type="noConversion"/>
  </si>
  <si>
    <t>气爪1 关</t>
    <phoneticPr fontId="1" type="noConversion"/>
  </si>
  <si>
    <t>2-2#有料</t>
    <phoneticPr fontId="1" type="noConversion"/>
  </si>
  <si>
    <t>3-2#有料</t>
    <phoneticPr fontId="1" type="noConversion"/>
  </si>
  <si>
    <t>气压报警</t>
    <phoneticPr fontId="1" type="noConversion"/>
  </si>
  <si>
    <t>报警</t>
    <phoneticPr fontId="1" type="noConversion"/>
  </si>
  <si>
    <t>取料旋转开</t>
    <phoneticPr fontId="1" type="noConversion"/>
  </si>
  <si>
    <t>Q7</t>
  </si>
  <si>
    <t>分料气爪1-1开</t>
    <phoneticPr fontId="1" type="noConversion"/>
  </si>
  <si>
    <t>分料气爪1-2关</t>
    <phoneticPr fontId="1" type="noConversion"/>
  </si>
  <si>
    <t>分料气爪1-2开</t>
    <phoneticPr fontId="1" type="noConversion"/>
  </si>
  <si>
    <t>传送带位置2</t>
    <phoneticPr fontId="1" type="noConversion"/>
  </si>
  <si>
    <t>气爪3-2开</t>
    <phoneticPr fontId="1" type="noConversion"/>
  </si>
  <si>
    <t>气爪1 开</t>
    <phoneticPr fontId="1" type="noConversion"/>
  </si>
  <si>
    <t>取料气爪2开</t>
    <phoneticPr fontId="1" type="noConversion"/>
  </si>
  <si>
    <t>取料旋转回</t>
    <phoneticPr fontId="1" type="noConversion"/>
  </si>
  <si>
    <t>横移前进关</t>
    <phoneticPr fontId="1" type="noConversion"/>
  </si>
  <si>
    <t>横移前进开</t>
    <phoneticPr fontId="1" type="noConversion"/>
  </si>
  <si>
    <t>Q22</t>
  </si>
  <si>
    <t>Q23</t>
  </si>
  <si>
    <t>Q46</t>
  </si>
  <si>
    <t>Q47</t>
  </si>
  <si>
    <t>Q50</t>
  </si>
  <si>
    <t>Q52</t>
  </si>
  <si>
    <t>Q53</t>
  </si>
  <si>
    <t>Q54</t>
  </si>
  <si>
    <t>Q55</t>
  </si>
  <si>
    <t>Q58</t>
  </si>
  <si>
    <t>横移前进回</t>
    <phoneticPr fontId="1" type="noConversion"/>
  </si>
  <si>
    <t>X88</t>
    <phoneticPr fontId="1" type="noConversion"/>
  </si>
  <si>
    <t>X89</t>
    <phoneticPr fontId="1" type="noConversion"/>
  </si>
  <si>
    <t>X90</t>
  </si>
  <si>
    <t>X91</t>
  </si>
  <si>
    <t>X92</t>
  </si>
  <si>
    <t>X93</t>
  </si>
  <si>
    <t>X94</t>
  </si>
  <si>
    <t>X95</t>
  </si>
  <si>
    <t>侧CCD下压气缸关</t>
    <phoneticPr fontId="1" type="noConversion"/>
  </si>
  <si>
    <t>顶CCD下压气缸关</t>
    <phoneticPr fontId="1" type="noConversion"/>
  </si>
  <si>
    <t>顶CCD下压气缸开</t>
    <phoneticPr fontId="1" type="noConversion"/>
  </si>
  <si>
    <t>顶CCD后推气缸关</t>
    <phoneticPr fontId="1" type="noConversion"/>
  </si>
  <si>
    <t>侧CCD下压气缸回</t>
    <phoneticPr fontId="1" type="noConversion"/>
  </si>
  <si>
    <t>顶CCD后推气缸开</t>
    <phoneticPr fontId="1" type="noConversion"/>
  </si>
  <si>
    <t>32路模块</t>
    <phoneticPr fontId="1" type="noConversion"/>
  </si>
  <si>
    <t>取料旋转关</t>
    <phoneticPr fontId="1" type="noConversion"/>
  </si>
  <si>
    <t>取料气爪关</t>
    <phoneticPr fontId="1" type="noConversion"/>
  </si>
  <si>
    <t>取料旋转出</t>
    <phoneticPr fontId="1" type="noConversion"/>
  </si>
  <si>
    <t>取料气爪1开</t>
    <phoneticPr fontId="1" type="noConversion"/>
  </si>
  <si>
    <t>放料台气缸开</t>
    <phoneticPr fontId="1" type="noConversion"/>
  </si>
  <si>
    <t>横移前进出</t>
    <phoneticPr fontId="1" type="noConversion"/>
  </si>
  <si>
    <t>耐压后推气缸回</t>
    <phoneticPr fontId="1" type="noConversion"/>
  </si>
  <si>
    <t>耐压后推气缸出</t>
    <phoneticPr fontId="1" type="noConversion"/>
  </si>
  <si>
    <t>耐压后推气缸关</t>
    <phoneticPr fontId="1" type="noConversion"/>
  </si>
  <si>
    <t>耐压后推气缸开</t>
    <phoneticPr fontId="1" type="noConversion"/>
  </si>
  <si>
    <t>耐压下降气缸回</t>
    <phoneticPr fontId="1" type="noConversion"/>
  </si>
  <si>
    <t>耐压下降气缸开</t>
    <phoneticPr fontId="1" type="noConversion"/>
  </si>
  <si>
    <t>耐压下降气缸关</t>
    <phoneticPr fontId="1" type="noConversion"/>
  </si>
  <si>
    <t>耐压下降气缸出</t>
    <phoneticPr fontId="1" type="noConversion"/>
  </si>
  <si>
    <t>侧CCD下压气缸开</t>
    <phoneticPr fontId="1" type="noConversion"/>
  </si>
  <si>
    <t>侧CCD下压气缸出</t>
    <phoneticPr fontId="1" type="noConversion"/>
  </si>
  <si>
    <t>保留</t>
    <phoneticPr fontId="1" type="noConversion"/>
  </si>
  <si>
    <t>分料气爪1-1关</t>
    <phoneticPr fontId="1" type="noConversion"/>
  </si>
  <si>
    <t>旋转气缸2开</t>
    <phoneticPr fontId="1" type="noConversion"/>
  </si>
  <si>
    <t>旋转位置关</t>
    <phoneticPr fontId="1" type="noConversion"/>
  </si>
  <si>
    <t>旋转位置开</t>
    <phoneticPr fontId="1" type="noConversion"/>
  </si>
  <si>
    <t>取料下降关</t>
    <phoneticPr fontId="1" type="noConversion"/>
  </si>
  <si>
    <t>取料下降开</t>
    <phoneticPr fontId="1" type="noConversion"/>
  </si>
  <si>
    <t>取料下降1回</t>
    <phoneticPr fontId="1" type="noConversion"/>
  </si>
  <si>
    <t>取料下降1出</t>
    <phoneticPr fontId="1" type="noConversion"/>
  </si>
  <si>
    <t>1-1#有料  耐压</t>
    <phoneticPr fontId="1" type="noConversion"/>
  </si>
  <si>
    <t>2-1#有料  ccd1</t>
    <phoneticPr fontId="1" type="noConversion"/>
  </si>
  <si>
    <t>3-1#有料  CCD2</t>
    <phoneticPr fontId="1" type="noConversion"/>
  </si>
  <si>
    <t xml:space="preserve">4-2#有料  </t>
    <phoneticPr fontId="1" type="noConversion"/>
  </si>
  <si>
    <t>4-1#有料  打标</t>
    <phoneticPr fontId="1" type="noConversion"/>
  </si>
  <si>
    <t>5-1#有料  分料</t>
    <phoneticPr fontId="1" type="noConversion"/>
  </si>
  <si>
    <t>分料下降气缸关</t>
    <phoneticPr fontId="1" type="noConversion"/>
  </si>
  <si>
    <t>分料下降气缸开</t>
    <phoneticPr fontId="1" type="noConversion"/>
  </si>
  <si>
    <t>横移下降关</t>
    <phoneticPr fontId="1" type="noConversion"/>
  </si>
  <si>
    <t>横移下降开</t>
    <phoneticPr fontId="1" type="noConversion"/>
  </si>
  <si>
    <t>上料工位报警</t>
    <phoneticPr fontId="1" type="noConversion"/>
  </si>
  <si>
    <t>三个大风扇</t>
    <phoneticPr fontId="1" type="noConversion"/>
  </si>
  <si>
    <t>FX-X5</t>
    <phoneticPr fontId="1" type="noConversion"/>
  </si>
  <si>
    <t>FX-X6</t>
    <phoneticPr fontId="1" type="noConversion"/>
  </si>
  <si>
    <t>继电器模组</t>
    <phoneticPr fontId="1" type="noConversion"/>
  </si>
  <si>
    <t>F2-RT1</t>
    <phoneticPr fontId="1" type="noConversion"/>
  </si>
  <si>
    <t>F2-X7</t>
    <phoneticPr fontId="1" type="noConversion"/>
  </si>
  <si>
    <t>F3-X8</t>
    <phoneticPr fontId="1" type="noConversion"/>
  </si>
  <si>
    <t>F3-X9</t>
    <phoneticPr fontId="1" type="noConversion"/>
  </si>
  <si>
    <t>F3-X11</t>
    <phoneticPr fontId="1" type="noConversion"/>
  </si>
  <si>
    <t>F3-X10</t>
    <phoneticPr fontId="1" type="noConversion"/>
  </si>
  <si>
    <t>F4-X12</t>
    <phoneticPr fontId="1" type="noConversion"/>
  </si>
  <si>
    <t>F4-X13</t>
    <phoneticPr fontId="1" type="noConversion"/>
  </si>
  <si>
    <t>F4-X14</t>
    <phoneticPr fontId="1" type="noConversion"/>
  </si>
  <si>
    <t>F5-X16</t>
    <phoneticPr fontId="1" type="noConversion"/>
  </si>
  <si>
    <t>F5-X17</t>
    <phoneticPr fontId="1" type="noConversion"/>
  </si>
  <si>
    <t>F5-X18</t>
    <phoneticPr fontId="1" type="noConversion"/>
  </si>
  <si>
    <t>F5-X19</t>
    <phoneticPr fontId="1" type="noConversion"/>
  </si>
  <si>
    <t>F6-X20</t>
    <phoneticPr fontId="1" type="noConversion"/>
  </si>
  <si>
    <t>F6-X21</t>
    <phoneticPr fontId="1" type="noConversion"/>
  </si>
  <si>
    <t>F6-X22</t>
    <phoneticPr fontId="1" type="noConversion"/>
  </si>
  <si>
    <t>检测工位IO模块详细定义</t>
    <phoneticPr fontId="1" type="noConversion"/>
  </si>
  <si>
    <t>模块1</t>
    <phoneticPr fontId="1" type="noConversion"/>
  </si>
  <si>
    <t>模块2</t>
    <phoneticPr fontId="1" type="noConversion"/>
  </si>
  <si>
    <t>模块3</t>
    <phoneticPr fontId="1" type="noConversion"/>
  </si>
  <si>
    <t>模块4</t>
    <phoneticPr fontId="1" type="noConversion"/>
  </si>
  <si>
    <t>模块5</t>
    <phoneticPr fontId="1" type="noConversion"/>
  </si>
  <si>
    <t>传送带</t>
    <phoneticPr fontId="1" type="noConversion"/>
  </si>
  <si>
    <t>气压报警</t>
    <phoneticPr fontId="1" type="noConversion"/>
  </si>
  <si>
    <t>安全继电器复位</t>
    <phoneticPr fontId="1" type="noConversion"/>
  </si>
  <si>
    <t>开安全锁</t>
    <phoneticPr fontId="1" type="noConversion"/>
  </si>
  <si>
    <t>0-1#有料</t>
    <phoneticPr fontId="1" type="noConversion"/>
  </si>
  <si>
    <t>0-2#有料</t>
    <phoneticPr fontId="1" type="noConversion"/>
  </si>
  <si>
    <t>分料气爪1关</t>
    <phoneticPr fontId="1" type="noConversion"/>
  </si>
  <si>
    <t>分料气爪2开</t>
    <phoneticPr fontId="1" type="noConversion"/>
  </si>
  <si>
    <t>分料气爪1开</t>
    <phoneticPr fontId="1" type="noConversion"/>
  </si>
  <si>
    <t>分料气爪2关</t>
    <phoneticPr fontId="1" type="noConversion"/>
  </si>
  <si>
    <t>Q24</t>
    <phoneticPr fontId="1" type="noConversion"/>
  </si>
  <si>
    <t>Q25</t>
    <phoneticPr fontId="1" type="noConversion"/>
  </si>
  <si>
    <t>Q28</t>
  </si>
  <si>
    <t>Q32</t>
    <phoneticPr fontId="1" type="noConversion"/>
  </si>
  <si>
    <t>Q33</t>
    <phoneticPr fontId="1" type="noConversion"/>
  </si>
  <si>
    <t>Q35</t>
  </si>
  <si>
    <t>Q36</t>
  </si>
  <si>
    <t>Q40</t>
    <phoneticPr fontId="1" type="noConversion"/>
  </si>
  <si>
    <t>Q41</t>
    <phoneticPr fontId="1" type="noConversion"/>
  </si>
  <si>
    <t>Q43</t>
  </si>
  <si>
    <t>Q48</t>
    <phoneticPr fontId="1" type="noConversion"/>
  </si>
  <si>
    <t>Q49</t>
    <phoneticPr fontId="1" type="noConversion"/>
  </si>
  <si>
    <t>Q51</t>
  </si>
  <si>
    <t>Q56</t>
    <phoneticPr fontId="1" type="noConversion"/>
  </si>
  <si>
    <t>Q57</t>
    <phoneticPr fontId="1" type="noConversion"/>
  </si>
  <si>
    <t>Q59</t>
  </si>
  <si>
    <t>Q60</t>
  </si>
  <si>
    <t>Q61</t>
  </si>
  <si>
    <t>Q62</t>
  </si>
  <si>
    <t>Q63</t>
  </si>
  <si>
    <t>X45</t>
    <phoneticPr fontId="1" type="noConversion"/>
  </si>
  <si>
    <t>X46</t>
    <phoneticPr fontId="1" type="noConversion"/>
  </si>
  <si>
    <t xml:space="preserve">  互换</t>
    <phoneticPr fontId="1" type="noConversion"/>
  </si>
  <si>
    <t>备用</t>
    <phoneticPr fontId="1" type="noConversion"/>
  </si>
  <si>
    <t>气爪2-3 关</t>
    <phoneticPr fontId="1" type="noConversion"/>
  </si>
  <si>
    <t>气爪2-3 开</t>
    <phoneticPr fontId="1" type="noConversion"/>
  </si>
  <si>
    <t>气爪4-5 关</t>
    <phoneticPr fontId="1" type="noConversion"/>
  </si>
  <si>
    <t>气爪4-5 开</t>
    <phoneticPr fontId="1" type="noConversion"/>
  </si>
  <si>
    <t>CCD1前进关</t>
    <phoneticPr fontId="1" type="noConversion"/>
  </si>
  <si>
    <t>CCD1前进开</t>
    <phoneticPr fontId="1" type="noConversion"/>
  </si>
  <si>
    <t>侧CCD位置气缸关</t>
    <phoneticPr fontId="1" type="noConversion"/>
  </si>
  <si>
    <t>侧CCD位置气缸开</t>
    <phoneticPr fontId="1" type="noConversion"/>
  </si>
  <si>
    <t>取料加长关</t>
    <phoneticPr fontId="1" type="noConversion"/>
  </si>
  <si>
    <t>取料加长开</t>
    <phoneticPr fontId="1" type="noConversion"/>
  </si>
  <si>
    <t>急停</t>
    <phoneticPr fontId="1" type="noConversion"/>
  </si>
  <si>
    <t>安全门</t>
    <phoneticPr fontId="1" type="noConversion"/>
  </si>
  <si>
    <t>气压后推开</t>
    <phoneticPr fontId="1" type="noConversion"/>
  </si>
  <si>
    <t>气压后推关</t>
    <phoneticPr fontId="1" type="noConversion"/>
  </si>
  <si>
    <t>气压左下压开</t>
    <phoneticPr fontId="1" type="noConversion"/>
  </si>
  <si>
    <t>气压右下压开</t>
    <phoneticPr fontId="1" type="noConversion"/>
  </si>
  <si>
    <t>气压下压开</t>
    <phoneticPr fontId="1" type="noConversion"/>
  </si>
  <si>
    <t>气压下压关</t>
    <phoneticPr fontId="1" type="noConversion"/>
  </si>
  <si>
    <t>通气</t>
    <phoneticPr fontId="1" type="noConversion"/>
  </si>
  <si>
    <t>气压右OK</t>
    <phoneticPr fontId="1" type="noConversion"/>
  </si>
  <si>
    <t>气压左OK</t>
    <phoneticPr fontId="1" type="noConversion"/>
  </si>
  <si>
    <t>气压后推关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</si>
</sst>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24"/>
      <color theme="1"/>
      <name val="宋体"/>
      <family val="2"/>
      <charset val="134"/>
      <scheme val="minor"/>
    </font>
    <font>
      <sz val="11"/>
      <color theme="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4" borderId="0" xfId="0" applyFill="1" applyBorder="1">
      <alignment vertical="center"/>
    </xf>
    <xf numFmtId="0" fontId="0" fillId="4" borderId="0" xfId="0" applyFill="1">
      <alignment vertical="center"/>
    </xf>
    <xf numFmtId="0" fontId="0" fillId="2" borderId="4" xfId="0" applyFill="1" applyBorder="1">
      <alignment vertical="center"/>
    </xf>
    <xf numFmtId="0" fontId="0" fillId="4" borderId="2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0" xfId="0" applyFill="1" applyBorder="1">
      <alignment vertical="center"/>
    </xf>
    <xf numFmtId="0" fontId="0" fillId="5" borderId="0" xfId="0" applyFill="1">
      <alignment vertical="center"/>
    </xf>
    <xf numFmtId="0" fontId="0" fillId="5" borderId="3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>
      <alignment vertical="center"/>
    </xf>
    <xf numFmtId="0" fontId="0" fillId="2" borderId="3" xfId="0" applyFill="1" applyBorder="1">
      <alignment vertical="center"/>
    </xf>
    <xf numFmtId="0" fontId="0" fillId="6" borderId="0" xfId="0" applyFill="1">
      <alignment vertical="center"/>
    </xf>
    <xf numFmtId="0" fontId="0" fillId="2" borderId="0" xfId="0" applyFill="1" applyBorder="1">
      <alignment vertical="center"/>
    </xf>
    <xf numFmtId="0" fontId="3" fillId="0" borderId="0" xfId="0" applyFont="1">
      <alignment vertical="center"/>
    </xf>
    <xf numFmtId="0" fontId="4" fillId="6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7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13"/>
  <sheetViews>
    <sheetView tabSelected="1" topLeftCell="A55" workbookViewId="0">
      <selection activeCell="A65" sqref="A65:XFD65"/>
    </sheetView>
  </sheetViews>
  <sheetFormatPr defaultRowHeight="13.5"/>
  <cols>
    <col min="2" max="2" width="30.75" customWidth="1"/>
    <col min="11" max="11" width="13.25" customWidth="1"/>
    <col min="12" max="12" width="20.75" customWidth="1"/>
    <col min="14" max="14" width="10.75" customWidth="1"/>
  </cols>
  <sheetData>
    <row r="1" spans="1:26" ht="31.5">
      <c r="D1" s="20" t="s">
        <v>261</v>
      </c>
    </row>
    <row r="2" spans="1:26" ht="31.5">
      <c r="D2" s="20"/>
    </row>
    <row r="3" spans="1:26" s="18" customFormat="1">
      <c r="I3" s="21" t="s">
        <v>262</v>
      </c>
    </row>
    <row r="4" spans="1:26" s="3" customFormat="1">
      <c r="A4" s="2" t="s">
        <v>0</v>
      </c>
      <c r="B4" s="2" t="s">
        <v>89</v>
      </c>
      <c r="C4" s="2" t="s">
        <v>96</v>
      </c>
      <c r="D4" s="2" t="s">
        <v>94</v>
      </c>
      <c r="E4" s="15"/>
      <c r="F4" s="15"/>
      <c r="G4" s="15"/>
      <c r="H4" s="15"/>
      <c r="I4" s="15">
        <v>0</v>
      </c>
      <c r="J4" s="2" t="s">
        <v>39</v>
      </c>
      <c r="K4" s="2" t="s">
        <v>115</v>
      </c>
      <c r="L4" s="2" t="s">
        <v>67</v>
      </c>
      <c r="M4" s="2" t="s">
        <v>96</v>
      </c>
      <c r="N4" s="3" t="s">
        <v>244</v>
      </c>
      <c r="O4" s="12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s="3" customFormat="1">
      <c r="A5" s="2" t="s">
        <v>1</v>
      </c>
      <c r="B5" s="2" t="s">
        <v>311</v>
      </c>
      <c r="C5" s="2" t="s">
        <v>96</v>
      </c>
      <c r="D5" s="2" t="s">
        <v>94</v>
      </c>
      <c r="E5" s="15"/>
      <c r="F5" s="15"/>
      <c r="G5" s="15"/>
      <c r="H5" s="15"/>
      <c r="I5" s="15">
        <v>1</v>
      </c>
      <c r="J5" s="2" t="s">
        <v>40</v>
      </c>
      <c r="K5" s="2" t="s">
        <v>115</v>
      </c>
      <c r="L5" s="2" t="s">
        <v>241</v>
      </c>
      <c r="M5" s="2" t="s">
        <v>96</v>
      </c>
      <c r="N5" s="3" t="s">
        <v>244</v>
      </c>
      <c r="O5" s="12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s="3" customFormat="1">
      <c r="A6" s="2" t="s">
        <v>2</v>
      </c>
      <c r="B6" s="2" t="s">
        <v>312</v>
      </c>
      <c r="C6" s="2" t="s">
        <v>95</v>
      </c>
      <c r="D6" s="2" t="s">
        <v>94</v>
      </c>
      <c r="E6" s="15"/>
      <c r="F6" s="15"/>
      <c r="G6" s="15"/>
      <c r="H6" s="15"/>
      <c r="I6" s="15">
        <v>2</v>
      </c>
      <c r="J6" s="2" t="s">
        <v>41</v>
      </c>
      <c r="K6" s="2" t="s">
        <v>115</v>
      </c>
      <c r="L6" s="2" t="s">
        <v>267</v>
      </c>
      <c r="M6" s="2" t="s">
        <v>96</v>
      </c>
      <c r="N6" s="3" t="s">
        <v>244</v>
      </c>
      <c r="O6" s="12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s="3" customFormat="1">
      <c r="A7" s="2" t="s">
        <v>3</v>
      </c>
      <c r="B7" s="2" t="s">
        <v>90</v>
      </c>
      <c r="C7" s="2" t="s">
        <v>95</v>
      </c>
      <c r="D7" s="2" t="s">
        <v>94</v>
      </c>
      <c r="E7" s="17" t="s">
        <v>242</v>
      </c>
      <c r="F7" s="19"/>
      <c r="G7" s="19"/>
      <c r="H7" s="19"/>
      <c r="I7" s="15">
        <v>3</v>
      </c>
      <c r="J7" s="2" t="s">
        <v>42</v>
      </c>
      <c r="K7" s="2" t="s">
        <v>115</v>
      </c>
      <c r="L7" s="2" t="s">
        <v>166</v>
      </c>
      <c r="M7" s="2" t="s">
        <v>96</v>
      </c>
      <c r="N7" s="3" t="s">
        <v>244</v>
      </c>
      <c r="O7" s="3" t="s">
        <v>245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s="4" customFormat="1">
      <c r="A8" s="2" t="s">
        <v>4</v>
      </c>
      <c r="B8" s="2" t="s">
        <v>240</v>
      </c>
      <c r="C8" s="2" t="s">
        <v>95</v>
      </c>
      <c r="D8" s="2" t="s">
        <v>93</v>
      </c>
      <c r="E8" s="15"/>
      <c r="F8" s="15"/>
      <c r="G8" s="15"/>
      <c r="H8" s="15"/>
      <c r="I8" s="15">
        <v>4</v>
      </c>
      <c r="J8" s="2" t="s">
        <v>43</v>
      </c>
      <c r="K8" s="2" t="s">
        <v>115</v>
      </c>
      <c r="L8" s="2" t="s">
        <v>92</v>
      </c>
      <c r="M8" s="2" t="s">
        <v>96</v>
      </c>
      <c r="N8" s="3" t="s">
        <v>244</v>
      </c>
      <c r="O8" s="12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s="4" customFormat="1">
      <c r="A9" s="2" t="s">
        <v>60</v>
      </c>
      <c r="B9" s="2" t="s">
        <v>165</v>
      </c>
      <c r="C9" s="2" t="s">
        <v>95</v>
      </c>
      <c r="D9" s="2" t="s">
        <v>93</v>
      </c>
      <c r="E9" s="15"/>
      <c r="F9" s="15"/>
      <c r="G9" s="15"/>
      <c r="H9" s="15"/>
      <c r="I9" s="15">
        <v>5</v>
      </c>
      <c r="J9" s="2" t="s">
        <v>61</v>
      </c>
      <c r="K9" s="2" t="s">
        <v>115</v>
      </c>
      <c r="L9" s="2" t="s">
        <v>270</v>
      </c>
      <c r="M9" s="2" t="s">
        <v>96</v>
      </c>
      <c r="N9" s="3" t="s">
        <v>244</v>
      </c>
      <c r="O9" s="12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s="4" customFormat="1">
      <c r="A10" s="2" t="s">
        <v>31</v>
      </c>
      <c r="B10" s="2" t="s">
        <v>30</v>
      </c>
      <c r="C10" s="2" t="s">
        <v>95</v>
      </c>
      <c r="D10" s="2" t="s">
        <v>93</v>
      </c>
      <c r="E10" s="15"/>
      <c r="F10" s="15"/>
      <c r="G10" s="15"/>
      <c r="H10" s="15"/>
      <c r="I10" s="15">
        <v>6</v>
      </c>
      <c r="J10" s="2" t="s">
        <v>91</v>
      </c>
      <c r="K10" s="2" t="s">
        <v>115</v>
      </c>
      <c r="L10" s="2" t="s">
        <v>269</v>
      </c>
      <c r="M10" s="2" t="s">
        <v>96</v>
      </c>
      <c r="N10" s="3" t="s">
        <v>244</v>
      </c>
      <c r="O10" s="12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2" t="s">
        <v>102</v>
      </c>
      <c r="B11" s="2" t="s">
        <v>30</v>
      </c>
      <c r="C11" s="2" t="s">
        <v>95</v>
      </c>
      <c r="D11" s="2" t="s">
        <v>93</v>
      </c>
      <c r="E11" s="15"/>
      <c r="F11" s="15"/>
      <c r="G11" s="15"/>
      <c r="H11" s="15"/>
      <c r="I11" s="15">
        <v>7</v>
      </c>
      <c r="J11" s="2" t="s">
        <v>168</v>
      </c>
      <c r="K11" s="2" t="s">
        <v>115</v>
      </c>
      <c r="L11" s="2" t="s">
        <v>268</v>
      </c>
      <c r="M11" s="2" t="s">
        <v>96</v>
      </c>
      <c r="N11" s="3" t="s">
        <v>244</v>
      </c>
      <c r="O11" s="12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s="3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s="3" customFormat="1">
      <c r="A13" s="2" t="s">
        <v>5</v>
      </c>
      <c r="B13" s="2" t="s">
        <v>228</v>
      </c>
      <c r="C13" s="2" t="s">
        <v>95</v>
      </c>
      <c r="D13" s="2" t="s">
        <v>93</v>
      </c>
      <c r="E13" s="11"/>
      <c r="F13" s="11"/>
      <c r="G13" s="11"/>
      <c r="H13" s="11"/>
      <c r="I13" s="12">
        <v>8</v>
      </c>
      <c r="J13" s="2" t="s">
        <v>106</v>
      </c>
      <c r="K13" s="2"/>
      <c r="L13" s="2" t="s">
        <v>226</v>
      </c>
      <c r="M13" s="2" t="s">
        <v>96</v>
      </c>
      <c r="N13" s="2" t="s">
        <v>113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s="3" customFormat="1">
      <c r="A14" s="2" t="s">
        <v>6</v>
      </c>
      <c r="B14" s="2" t="s">
        <v>229</v>
      </c>
      <c r="C14" s="2" t="s">
        <v>95</v>
      </c>
      <c r="D14" s="2" t="s">
        <v>93</v>
      </c>
      <c r="E14" s="11"/>
      <c r="F14" s="11"/>
      <c r="G14" s="11"/>
      <c r="H14" s="11"/>
      <c r="I14" s="12">
        <v>9</v>
      </c>
      <c r="J14" s="2" t="s">
        <v>148</v>
      </c>
      <c r="L14" s="3" t="s">
        <v>227</v>
      </c>
      <c r="M14" s="2" t="s">
        <v>96</v>
      </c>
      <c r="N14" s="2" t="s">
        <v>113</v>
      </c>
      <c r="O14" s="14"/>
      <c r="P14" s="14" t="s">
        <v>59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s="3" customFormat="1">
      <c r="A15" s="2" t="s">
        <v>7</v>
      </c>
      <c r="B15" s="2" t="s">
        <v>176</v>
      </c>
      <c r="C15" s="2" t="s">
        <v>95</v>
      </c>
      <c r="D15" s="2" t="s">
        <v>93</v>
      </c>
      <c r="E15" s="11"/>
      <c r="F15" s="11"/>
      <c r="G15" s="11"/>
      <c r="H15" s="11"/>
      <c r="I15" s="12">
        <v>10</v>
      </c>
      <c r="J15" s="2" t="s">
        <v>62</v>
      </c>
      <c r="K15" s="2"/>
      <c r="L15" s="2" t="s">
        <v>205</v>
      </c>
      <c r="M15" s="2" t="s">
        <v>95</v>
      </c>
      <c r="N15" s="2" t="s">
        <v>113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s="3" customFormat="1">
      <c r="A16" s="2" t="s">
        <v>8</v>
      </c>
      <c r="B16" s="2" t="s">
        <v>207</v>
      </c>
      <c r="C16" s="2" t="s">
        <v>95</v>
      </c>
      <c r="D16" s="2" t="s">
        <v>93</v>
      </c>
      <c r="E16" s="11"/>
      <c r="F16" s="11"/>
      <c r="G16" s="11"/>
      <c r="H16" s="11"/>
      <c r="I16" s="12">
        <v>11</v>
      </c>
      <c r="J16" s="2" t="s">
        <v>107</v>
      </c>
      <c r="L16" s="2" t="s">
        <v>167</v>
      </c>
      <c r="M16" s="2" t="s">
        <v>95</v>
      </c>
      <c r="N16" s="2" t="s">
        <v>112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8" s="3" customFormat="1">
      <c r="A17" s="2" t="s">
        <v>9</v>
      </c>
      <c r="B17" s="2" t="s">
        <v>309</v>
      </c>
      <c r="C17" s="2" t="s">
        <v>95</v>
      </c>
      <c r="D17" s="2" t="s">
        <v>93</v>
      </c>
      <c r="E17" s="19" t="s">
        <v>243</v>
      </c>
      <c r="F17" s="19"/>
      <c r="G17" s="19"/>
      <c r="H17" s="19"/>
      <c r="I17" s="12">
        <v>12</v>
      </c>
      <c r="J17" s="2" t="s">
        <v>108</v>
      </c>
      <c r="K17" s="2"/>
      <c r="L17" s="2" t="s">
        <v>206</v>
      </c>
      <c r="M17" s="2" t="s">
        <v>95</v>
      </c>
      <c r="N17" s="2" t="s">
        <v>112</v>
      </c>
      <c r="O17" s="17" t="s">
        <v>246</v>
      </c>
      <c r="P17" s="14">
        <v>0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8" s="3" customFormat="1">
      <c r="A18" s="2" t="s">
        <v>10</v>
      </c>
      <c r="B18" s="2" t="s">
        <v>208</v>
      </c>
      <c r="C18" s="2" t="s">
        <v>95</v>
      </c>
      <c r="D18" s="2" t="s">
        <v>93</v>
      </c>
      <c r="E18" s="11"/>
      <c r="F18" s="11"/>
      <c r="G18" s="11"/>
      <c r="H18" s="11"/>
      <c r="I18" s="12">
        <v>13</v>
      </c>
      <c r="J18" s="2" t="s">
        <v>109</v>
      </c>
      <c r="K18" s="2"/>
      <c r="L18" s="2" t="s">
        <v>147</v>
      </c>
      <c r="M18" s="2" t="s">
        <v>95</v>
      </c>
      <c r="N18" s="2" t="s">
        <v>112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8" s="3" customFormat="1">
      <c r="A19" s="2" t="s">
        <v>11</v>
      </c>
      <c r="B19" s="2" t="s">
        <v>310</v>
      </c>
      <c r="C19" s="2" t="s">
        <v>95</v>
      </c>
      <c r="D19" s="2" t="s">
        <v>93</v>
      </c>
      <c r="E19" s="11"/>
      <c r="F19" s="11"/>
      <c r="G19" s="11"/>
      <c r="H19" s="11"/>
      <c r="I19" s="12">
        <v>14</v>
      </c>
      <c r="J19" s="2" t="s">
        <v>110</v>
      </c>
      <c r="K19" s="2"/>
      <c r="L19" s="2" t="s">
        <v>309</v>
      </c>
      <c r="M19" s="2" t="s">
        <v>95</v>
      </c>
      <c r="N19" s="2" t="s">
        <v>112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8" s="3" customFormat="1">
      <c r="A20" s="2" t="s">
        <v>12</v>
      </c>
      <c r="B20" s="2" t="s">
        <v>175</v>
      </c>
      <c r="C20" s="2" t="s">
        <v>95</v>
      </c>
      <c r="D20" s="2" t="s">
        <v>93</v>
      </c>
      <c r="E20" s="11"/>
      <c r="F20" s="11"/>
      <c r="G20" s="11"/>
      <c r="H20" s="11"/>
      <c r="I20" s="12">
        <v>15</v>
      </c>
      <c r="J20" s="2" t="s">
        <v>111</v>
      </c>
      <c r="K20" s="2"/>
      <c r="L20" s="2" t="s">
        <v>310</v>
      </c>
      <c r="M20" s="2" t="s">
        <v>95</v>
      </c>
      <c r="N20" s="2" t="s">
        <v>112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8" s="3" customFormat="1">
      <c r="A21" s="16"/>
      <c r="B21" s="16"/>
      <c r="C21" s="16"/>
      <c r="D21" s="15"/>
      <c r="E21" s="15"/>
      <c r="F21" s="15"/>
      <c r="G21" s="15"/>
      <c r="H21" s="15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8" s="7" customFormat="1">
      <c r="A22" s="5"/>
      <c r="B22" s="5"/>
      <c r="C22" s="5"/>
      <c r="D22" s="6"/>
      <c r="E22" s="6"/>
      <c r="F22" s="6"/>
      <c r="G22" s="6"/>
      <c r="H22" s="6"/>
      <c r="I22" s="22" t="s">
        <v>263</v>
      </c>
    </row>
    <row r="23" spans="1:28" s="3" customFormat="1">
      <c r="A23" s="2" t="s">
        <v>103</v>
      </c>
      <c r="B23" s="2" t="s">
        <v>209</v>
      </c>
      <c r="C23" s="2" t="s">
        <v>105</v>
      </c>
      <c r="D23" s="2" t="s">
        <v>93</v>
      </c>
      <c r="E23" s="11"/>
      <c r="F23" s="11"/>
      <c r="G23" s="11"/>
      <c r="H23" s="11"/>
      <c r="I23" s="12">
        <v>0</v>
      </c>
      <c r="J23" s="2" t="s">
        <v>44</v>
      </c>
      <c r="K23" s="2"/>
      <c r="L23" s="2" t="s">
        <v>149</v>
      </c>
      <c r="M23" s="2" t="s">
        <v>105</v>
      </c>
      <c r="N23" s="2" t="s">
        <v>112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 s="3" customFormat="1">
      <c r="A24" s="2" t="s">
        <v>32</v>
      </c>
      <c r="B24" s="2" t="s">
        <v>149</v>
      </c>
      <c r="C24" s="2" t="s">
        <v>105</v>
      </c>
      <c r="D24" s="2" t="s">
        <v>93</v>
      </c>
      <c r="E24" s="11"/>
      <c r="F24" s="11"/>
      <c r="G24" s="11"/>
      <c r="H24" s="11"/>
      <c r="I24" s="12">
        <v>1</v>
      </c>
      <c r="J24" s="2" t="s">
        <v>45</v>
      </c>
      <c r="K24" s="2"/>
      <c r="L24" s="2" t="s">
        <v>209</v>
      </c>
      <c r="M24" s="2" t="s">
        <v>105</v>
      </c>
      <c r="N24" s="2" t="s">
        <v>112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pans="1:28" s="3" customFormat="1">
      <c r="A25" s="2" t="s">
        <v>104</v>
      </c>
      <c r="B25" s="2" t="s">
        <v>271</v>
      </c>
      <c r="C25" s="2" t="s">
        <v>97</v>
      </c>
      <c r="D25" s="2" t="s">
        <v>93</v>
      </c>
      <c r="E25" s="11"/>
      <c r="F25" s="11"/>
      <c r="G25" s="11"/>
      <c r="H25" s="11"/>
      <c r="I25" s="12">
        <v>2</v>
      </c>
      <c r="J25" s="2" t="s">
        <v>114</v>
      </c>
      <c r="K25" s="2"/>
      <c r="L25" s="2" t="s">
        <v>238</v>
      </c>
      <c r="M25" s="2" t="s">
        <v>105</v>
      </c>
      <c r="N25" s="2" t="s">
        <v>112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1:28" s="3" customFormat="1">
      <c r="A26" s="2" t="s">
        <v>78</v>
      </c>
      <c r="B26" s="2" t="s">
        <v>272</v>
      </c>
      <c r="C26" s="2" t="s">
        <v>97</v>
      </c>
      <c r="D26" s="2" t="s">
        <v>93</v>
      </c>
      <c r="E26" s="19" t="s">
        <v>247</v>
      </c>
      <c r="F26" s="19"/>
      <c r="G26" s="19"/>
      <c r="H26" s="19"/>
      <c r="I26" s="12">
        <v>3</v>
      </c>
      <c r="J26" s="2" t="s">
        <v>120</v>
      </c>
      <c r="K26" s="2"/>
      <c r="L26" s="2" t="s">
        <v>239</v>
      </c>
      <c r="M26" s="2" t="s">
        <v>105</v>
      </c>
      <c r="N26" s="2" t="s">
        <v>112</v>
      </c>
      <c r="O26" s="17" t="s">
        <v>250</v>
      </c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1:28" s="3" customFormat="1">
      <c r="A27" s="2" t="s">
        <v>79</v>
      </c>
      <c r="B27" s="2" t="s">
        <v>238</v>
      </c>
      <c r="C27" s="2" t="s">
        <v>97</v>
      </c>
      <c r="D27" s="2" t="s">
        <v>93</v>
      </c>
      <c r="E27" s="11"/>
      <c r="F27" s="11"/>
      <c r="G27" s="11"/>
      <c r="H27" s="11"/>
      <c r="I27" s="12">
        <v>4</v>
      </c>
      <c r="J27" s="2" t="s">
        <v>121</v>
      </c>
      <c r="K27" s="2"/>
      <c r="L27" s="2" t="s">
        <v>177</v>
      </c>
      <c r="M27" s="2" t="s">
        <v>97</v>
      </c>
      <c r="N27" s="2" t="s">
        <v>112</v>
      </c>
      <c r="O27" s="14"/>
      <c r="P27" s="14" t="s">
        <v>59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1:28" s="3" customFormat="1">
      <c r="A28" s="2" t="s">
        <v>125</v>
      </c>
      <c r="B28" s="2" t="s">
        <v>239</v>
      </c>
      <c r="C28" s="2" t="s">
        <v>97</v>
      </c>
      <c r="D28" s="2" t="s">
        <v>93</v>
      </c>
      <c r="E28" s="11"/>
      <c r="F28" s="11"/>
      <c r="G28" s="11"/>
      <c r="H28" s="11"/>
      <c r="I28" s="12">
        <v>5</v>
      </c>
      <c r="J28" s="2" t="s">
        <v>122</v>
      </c>
      <c r="K28" s="2"/>
      <c r="L28" s="2" t="s">
        <v>178</v>
      </c>
      <c r="M28" s="2" t="s">
        <v>97</v>
      </c>
      <c r="N28" s="2" t="s">
        <v>112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 s="3" customFormat="1">
      <c r="A29" s="2" t="s">
        <v>126</v>
      </c>
      <c r="B29" s="8" t="s">
        <v>189</v>
      </c>
      <c r="C29" s="8" t="s">
        <v>97</v>
      </c>
      <c r="D29" s="8" t="s">
        <v>93</v>
      </c>
      <c r="E29" s="11"/>
      <c r="F29" s="11"/>
      <c r="G29" s="11"/>
      <c r="H29" s="11"/>
      <c r="I29" s="12">
        <v>6</v>
      </c>
      <c r="J29" s="2" t="s">
        <v>179</v>
      </c>
      <c r="K29" s="2"/>
      <c r="L29" s="2" t="s">
        <v>213</v>
      </c>
      <c r="M29" s="2" t="s">
        <v>97</v>
      </c>
      <c r="N29" s="2" t="s">
        <v>112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spans="1:28" s="3" customFormat="1">
      <c r="A30" s="2" t="s">
        <v>80</v>
      </c>
      <c r="B30" s="8" t="s">
        <v>210</v>
      </c>
      <c r="C30" s="2" t="s">
        <v>97</v>
      </c>
      <c r="D30" s="2" t="s">
        <v>93</v>
      </c>
      <c r="E30" s="11"/>
      <c r="F30" s="11"/>
      <c r="G30" s="11"/>
      <c r="H30" s="11"/>
      <c r="I30" s="12">
        <v>7</v>
      </c>
      <c r="J30" s="2" t="s">
        <v>180</v>
      </c>
      <c r="K30" s="2"/>
      <c r="L30" s="2" t="s">
        <v>214</v>
      </c>
      <c r="M30" s="2" t="s">
        <v>97</v>
      </c>
      <c r="N30" s="2" t="s">
        <v>112</v>
      </c>
      <c r="O30" s="14"/>
      <c r="P30" s="14">
        <v>1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>
      <c r="A31" s="15"/>
      <c r="B31" s="15"/>
      <c r="C31" s="15"/>
      <c r="D31" s="15"/>
      <c r="E31" s="11"/>
      <c r="F31" s="11"/>
      <c r="G31" s="11"/>
      <c r="H31" s="11"/>
      <c r="I31" s="12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>
      <c r="A32" s="2" t="s">
        <v>127</v>
      </c>
      <c r="B32" s="2" t="s">
        <v>211</v>
      </c>
      <c r="C32" s="2" t="s">
        <v>97</v>
      </c>
      <c r="D32" s="2" t="s">
        <v>93</v>
      </c>
      <c r="E32" s="11"/>
      <c r="F32" s="11"/>
      <c r="G32" s="11"/>
      <c r="H32" s="11"/>
      <c r="I32" s="12">
        <v>8</v>
      </c>
      <c r="J32" s="2" t="s">
        <v>277</v>
      </c>
      <c r="K32" s="2"/>
      <c r="L32" s="2" t="s">
        <v>217</v>
      </c>
      <c r="M32" s="2" t="s">
        <v>97</v>
      </c>
      <c r="N32" s="2" t="s">
        <v>112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1:28">
      <c r="A33" s="2" t="s">
        <v>128</v>
      </c>
      <c r="B33" s="2" t="s">
        <v>212</v>
      </c>
      <c r="C33" s="2" t="s">
        <v>97</v>
      </c>
      <c r="D33" s="2" t="s">
        <v>93</v>
      </c>
      <c r="E33" s="11"/>
      <c r="F33" s="11"/>
      <c r="G33" s="11"/>
      <c r="H33" s="11"/>
      <c r="I33" s="12">
        <v>9</v>
      </c>
      <c r="J33" s="2" t="s">
        <v>278</v>
      </c>
      <c r="K33" s="2"/>
      <c r="L33" s="2" t="s">
        <v>216</v>
      </c>
      <c r="M33" s="2" t="s">
        <v>97</v>
      </c>
      <c r="N33" s="2" t="s">
        <v>112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>
      <c r="A34" s="2" t="s">
        <v>116</v>
      </c>
      <c r="B34" s="8" t="s">
        <v>215</v>
      </c>
      <c r="C34" s="2" t="s">
        <v>97</v>
      </c>
      <c r="D34" s="2" t="s">
        <v>93</v>
      </c>
      <c r="E34" s="11"/>
      <c r="F34" s="11"/>
      <c r="G34" s="11"/>
      <c r="H34" s="11"/>
      <c r="I34" s="12">
        <v>10</v>
      </c>
      <c r="J34" s="2" t="s">
        <v>130</v>
      </c>
      <c r="K34" s="2"/>
      <c r="L34" s="2" t="s">
        <v>198</v>
      </c>
      <c r="M34" s="2" t="s">
        <v>97</v>
      </c>
      <c r="N34" s="2" t="s">
        <v>112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>
      <c r="A35" s="2" t="s">
        <v>63</v>
      </c>
      <c r="B35" s="2" t="s">
        <v>218</v>
      </c>
      <c r="C35" s="2" t="s">
        <v>97</v>
      </c>
      <c r="D35" s="2" t="s">
        <v>93</v>
      </c>
      <c r="E35" s="19" t="s">
        <v>248</v>
      </c>
      <c r="F35" s="19"/>
      <c r="G35" s="19"/>
      <c r="H35" s="19"/>
      <c r="I35" s="12">
        <v>11</v>
      </c>
      <c r="J35" s="2" t="s">
        <v>131</v>
      </c>
      <c r="K35" s="2"/>
      <c r="L35" s="2" t="s">
        <v>219</v>
      </c>
      <c r="M35" s="2" t="s">
        <v>97</v>
      </c>
      <c r="N35" s="2" t="s">
        <v>112</v>
      </c>
      <c r="O35" s="17" t="s">
        <v>249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spans="1:28">
      <c r="A36" s="2" t="s">
        <v>81</v>
      </c>
      <c r="B36" s="2" t="s">
        <v>202</v>
      </c>
      <c r="C36" s="2" t="s">
        <v>97</v>
      </c>
      <c r="D36" s="2" t="s">
        <v>93</v>
      </c>
      <c r="E36" s="11"/>
      <c r="F36" s="11"/>
      <c r="G36" s="11"/>
      <c r="H36" s="11"/>
      <c r="I36" s="12">
        <v>12</v>
      </c>
      <c r="J36" s="2" t="s">
        <v>279</v>
      </c>
      <c r="K36" s="2"/>
      <c r="L36" s="2" t="s">
        <v>307</v>
      </c>
      <c r="M36" s="2" t="s">
        <v>97</v>
      </c>
      <c r="N36" s="2" t="s">
        <v>112</v>
      </c>
      <c r="U36" s="14"/>
      <c r="V36" s="14"/>
      <c r="W36" s="14"/>
      <c r="X36" s="14"/>
      <c r="Y36" s="14"/>
      <c r="Z36" s="14"/>
      <c r="AA36" s="14"/>
      <c r="AB36" s="14"/>
    </row>
    <row r="37" spans="1:28" s="3" customFormat="1">
      <c r="A37" s="2" t="s">
        <v>82</v>
      </c>
      <c r="B37" s="2" t="s">
        <v>220</v>
      </c>
      <c r="C37" s="2" t="s">
        <v>97</v>
      </c>
      <c r="D37" s="2" t="s">
        <v>93</v>
      </c>
      <c r="E37" s="11"/>
      <c r="F37" s="11"/>
      <c r="G37" s="11"/>
      <c r="H37" s="11"/>
      <c r="I37" s="12">
        <v>13</v>
      </c>
      <c r="J37" s="2" t="s">
        <v>132</v>
      </c>
      <c r="K37" s="2"/>
      <c r="L37" s="2" t="s">
        <v>308</v>
      </c>
      <c r="M37" s="2" t="s">
        <v>97</v>
      </c>
      <c r="N37" s="2" t="s">
        <v>112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s="3" customFormat="1">
      <c r="A38" s="2" t="s">
        <v>117</v>
      </c>
      <c r="B38" s="2" t="s">
        <v>305</v>
      </c>
      <c r="C38" s="2" t="s">
        <v>97</v>
      </c>
      <c r="D38" s="2" t="s">
        <v>93</v>
      </c>
      <c r="E38" s="11"/>
      <c r="F38" s="11"/>
      <c r="G38" s="11"/>
      <c r="H38" s="11"/>
      <c r="I38" s="12">
        <v>14</v>
      </c>
      <c r="J38" s="2" t="s">
        <v>133</v>
      </c>
      <c r="K38" s="2"/>
      <c r="L38" s="2" t="s">
        <v>199</v>
      </c>
      <c r="M38" s="2" t="s">
        <v>97</v>
      </c>
      <c r="N38" s="2" t="s">
        <v>112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s="3" customFormat="1">
      <c r="A39" s="2" t="s">
        <v>118</v>
      </c>
      <c r="B39" s="2" t="s">
        <v>306</v>
      </c>
      <c r="C39" s="2" t="s">
        <v>97</v>
      </c>
      <c r="D39" s="2" t="s">
        <v>93</v>
      </c>
      <c r="E39" s="11"/>
      <c r="F39" s="11"/>
      <c r="G39" s="11"/>
      <c r="H39" s="11"/>
      <c r="I39" s="12">
        <v>15</v>
      </c>
      <c r="J39" s="2" t="s">
        <v>134</v>
      </c>
      <c r="K39" s="2"/>
      <c r="L39" s="2" t="s">
        <v>200</v>
      </c>
      <c r="M39" s="2" t="s">
        <v>97</v>
      </c>
      <c r="N39" s="2" t="s">
        <v>112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spans="1:28" s="3" customFormat="1">
      <c r="A40" s="11"/>
      <c r="B40" s="11"/>
      <c r="C40" s="11"/>
      <c r="D40" s="11"/>
      <c r="E40" s="11"/>
      <c r="F40" s="11"/>
      <c r="G40" s="11"/>
      <c r="H40" s="11"/>
      <c r="I40" s="12"/>
      <c r="J40"/>
      <c r="K40"/>
      <c r="L40"/>
      <c r="M40"/>
      <c r="N40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s="7" customFormat="1">
      <c r="A41" s="9"/>
      <c r="B41" s="9"/>
      <c r="C41" s="9"/>
      <c r="D41" s="6"/>
      <c r="E41" s="6"/>
      <c r="F41" s="6"/>
      <c r="G41" s="6"/>
      <c r="H41" s="6"/>
      <c r="I41" s="22" t="s">
        <v>264</v>
      </c>
    </row>
    <row r="42" spans="1:28" s="7" customFormat="1">
      <c r="A42" s="2" t="s">
        <v>13</v>
      </c>
      <c r="B42" s="2" t="s">
        <v>199</v>
      </c>
      <c r="C42" s="2" t="s">
        <v>150</v>
      </c>
      <c r="D42" s="2" t="s">
        <v>93</v>
      </c>
      <c r="E42" s="11"/>
      <c r="F42" s="11"/>
      <c r="G42" s="11"/>
      <c r="H42" s="11"/>
      <c r="I42" s="12">
        <v>0</v>
      </c>
      <c r="J42" s="2" t="s">
        <v>280</v>
      </c>
      <c r="K42" s="2"/>
      <c r="L42" s="2" t="s">
        <v>201</v>
      </c>
      <c r="M42" s="2" t="s">
        <v>119</v>
      </c>
      <c r="N42" s="2" t="s">
        <v>112</v>
      </c>
      <c r="O42"/>
      <c r="P42"/>
      <c r="Q42"/>
      <c r="R42"/>
      <c r="S42"/>
      <c r="T42"/>
      <c r="U42"/>
    </row>
    <row r="43" spans="1:28" s="7" customFormat="1">
      <c r="A43" s="2" t="s">
        <v>14</v>
      </c>
      <c r="B43" s="2" t="s">
        <v>200</v>
      </c>
      <c r="C43" s="2" t="s">
        <v>150</v>
      </c>
      <c r="D43" s="2" t="s">
        <v>93</v>
      </c>
      <c r="E43" s="11"/>
      <c r="F43" s="11"/>
      <c r="G43" s="11"/>
      <c r="H43" s="11"/>
      <c r="I43" s="12">
        <v>1</v>
      </c>
      <c r="J43" s="2" t="s">
        <v>281</v>
      </c>
      <c r="K43" s="2"/>
      <c r="L43" s="2" t="s">
        <v>203</v>
      </c>
      <c r="M43" s="2" t="s">
        <v>119</v>
      </c>
      <c r="N43" s="2" t="s">
        <v>112</v>
      </c>
      <c r="O43"/>
      <c r="P43"/>
      <c r="Q43"/>
      <c r="R43"/>
      <c r="S43"/>
      <c r="T43"/>
      <c r="U43"/>
    </row>
    <row r="44" spans="1:28">
      <c r="A44" s="2" t="s">
        <v>64</v>
      </c>
      <c r="B44" s="2" t="s">
        <v>201</v>
      </c>
      <c r="C44" s="2" t="s">
        <v>119</v>
      </c>
      <c r="D44" s="2" t="s">
        <v>93</v>
      </c>
      <c r="E44" s="11"/>
      <c r="F44" s="11"/>
      <c r="G44" s="11"/>
      <c r="H44" s="11"/>
      <c r="I44" s="12">
        <v>2</v>
      </c>
      <c r="J44" s="2" t="s">
        <v>154</v>
      </c>
      <c r="K44" s="2"/>
      <c r="L44" s="2" t="s">
        <v>236</v>
      </c>
      <c r="M44" s="2" t="s">
        <v>98</v>
      </c>
      <c r="N44" s="2" t="s">
        <v>112</v>
      </c>
    </row>
    <row r="45" spans="1:28">
      <c r="A45" s="2" t="s">
        <v>83</v>
      </c>
      <c r="B45" s="2" t="s">
        <v>203</v>
      </c>
      <c r="C45" s="2" t="s">
        <v>98</v>
      </c>
      <c r="D45" s="2" t="s">
        <v>93</v>
      </c>
      <c r="E45" s="19" t="s">
        <v>251</v>
      </c>
      <c r="F45" s="19"/>
      <c r="G45" s="19"/>
      <c r="H45" s="19"/>
      <c r="I45" s="12">
        <v>3</v>
      </c>
      <c r="J45" s="2" t="s">
        <v>282</v>
      </c>
      <c r="K45" s="2"/>
      <c r="L45" s="2" t="s">
        <v>237</v>
      </c>
      <c r="M45" s="2" t="s">
        <v>98</v>
      </c>
      <c r="N45" s="2" t="s">
        <v>112</v>
      </c>
      <c r="O45" s="17" t="s">
        <v>253</v>
      </c>
    </row>
    <row r="46" spans="1:28">
      <c r="A46" s="2" t="s">
        <v>84</v>
      </c>
      <c r="B46" s="2"/>
      <c r="C46" s="2" t="s">
        <v>98</v>
      </c>
      <c r="D46" s="2" t="s">
        <v>93</v>
      </c>
      <c r="E46" s="11"/>
      <c r="F46" s="11"/>
      <c r="G46" s="11"/>
      <c r="H46" s="11"/>
      <c r="I46" s="12">
        <v>4</v>
      </c>
      <c r="J46" s="2" t="s">
        <v>283</v>
      </c>
      <c r="K46" s="2"/>
      <c r="L46" s="2" t="s">
        <v>273</v>
      </c>
      <c r="M46" s="2" t="s">
        <v>98</v>
      </c>
      <c r="N46" s="2" t="s">
        <v>112</v>
      </c>
    </row>
    <row r="47" spans="1:28">
      <c r="A47" s="2" t="s">
        <v>151</v>
      </c>
      <c r="B47" s="2"/>
      <c r="C47" s="2" t="s">
        <v>98</v>
      </c>
      <c r="D47" s="2" t="s">
        <v>93</v>
      </c>
      <c r="E47" s="11"/>
      <c r="F47" s="11"/>
      <c r="G47" s="11"/>
      <c r="H47" s="11"/>
      <c r="I47" s="12">
        <v>5</v>
      </c>
      <c r="J47" s="2" t="s">
        <v>155</v>
      </c>
      <c r="K47" s="2"/>
      <c r="L47" s="2" t="s">
        <v>275</v>
      </c>
      <c r="M47" s="2" t="s">
        <v>98</v>
      </c>
      <c r="N47" s="2" t="s">
        <v>112</v>
      </c>
    </row>
    <row r="48" spans="1:28">
      <c r="A48" s="2" t="s">
        <v>15</v>
      </c>
      <c r="B48" s="2"/>
      <c r="C48" s="2" t="s">
        <v>98</v>
      </c>
      <c r="D48" s="2" t="s">
        <v>93</v>
      </c>
      <c r="E48" s="11" t="s">
        <v>297</v>
      </c>
      <c r="F48" s="11" t="s">
        <v>299</v>
      </c>
      <c r="G48" s="11"/>
      <c r="H48" s="11"/>
      <c r="I48" s="12">
        <v>6</v>
      </c>
      <c r="J48" s="2" t="s">
        <v>156</v>
      </c>
      <c r="K48" s="2"/>
      <c r="L48" s="2" t="s">
        <v>276</v>
      </c>
      <c r="M48" s="2" t="s">
        <v>98</v>
      </c>
      <c r="N48" s="2" t="s">
        <v>112</v>
      </c>
      <c r="U48" s="2" t="s">
        <v>236</v>
      </c>
    </row>
    <row r="49" spans="1:21">
      <c r="A49" s="2" t="s">
        <v>16</v>
      </c>
      <c r="B49" s="2"/>
      <c r="C49" s="2" t="s">
        <v>98</v>
      </c>
      <c r="D49" s="2" t="s">
        <v>93</v>
      </c>
      <c r="E49" s="11" t="s">
        <v>298</v>
      </c>
      <c r="F49" s="11"/>
      <c r="G49" s="11"/>
      <c r="H49" s="11"/>
      <c r="I49" s="12">
        <v>7</v>
      </c>
      <c r="J49" s="2" t="s">
        <v>157</v>
      </c>
      <c r="K49" s="2"/>
      <c r="L49" s="2" t="s">
        <v>274</v>
      </c>
      <c r="M49" s="2" t="s">
        <v>98</v>
      </c>
      <c r="N49" s="2" t="s">
        <v>112</v>
      </c>
      <c r="P49" t="s">
        <v>59</v>
      </c>
      <c r="U49" s="2" t="s">
        <v>237</v>
      </c>
    </row>
    <row r="50" spans="1:21">
      <c r="E50" s="11"/>
      <c r="F50" s="11"/>
      <c r="G50" s="11"/>
      <c r="H50" s="11"/>
      <c r="I50" s="12"/>
      <c r="L50" s="2"/>
      <c r="U50" s="2" t="s">
        <v>273</v>
      </c>
    </row>
    <row r="51" spans="1:21">
      <c r="A51" s="2" t="s">
        <v>18</v>
      </c>
      <c r="B51" s="2" t="s">
        <v>30</v>
      </c>
      <c r="C51" s="2" t="s">
        <v>98</v>
      </c>
      <c r="D51" s="2" t="s">
        <v>93</v>
      </c>
      <c r="E51" s="11"/>
      <c r="F51" s="11"/>
      <c r="G51" s="11"/>
      <c r="H51" s="11"/>
      <c r="I51" s="12">
        <v>8</v>
      </c>
      <c r="J51" s="2" t="s">
        <v>284</v>
      </c>
      <c r="K51" s="2"/>
      <c r="L51" s="2" t="s">
        <v>92</v>
      </c>
      <c r="M51" s="2" t="s">
        <v>119</v>
      </c>
      <c r="N51" s="2" t="s">
        <v>112</v>
      </c>
      <c r="P51">
        <v>2</v>
      </c>
      <c r="U51" s="2" t="s">
        <v>275</v>
      </c>
    </row>
    <row r="52" spans="1:21">
      <c r="A52" s="2" t="s">
        <v>129</v>
      </c>
      <c r="B52" s="2" t="s">
        <v>222</v>
      </c>
      <c r="C52" s="2" t="s">
        <v>98</v>
      </c>
      <c r="D52" s="2" t="s">
        <v>93</v>
      </c>
      <c r="E52" s="11"/>
      <c r="F52" s="11"/>
      <c r="G52" s="11"/>
      <c r="H52" s="11"/>
      <c r="I52" s="12">
        <v>9</v>
      </c>
      <c r="J52" s="2" t="s">
        <v>285</v>
      </c>
      <c r="K52" s="2"/>
      <c r="L52" s="2" t="s">
        <v>92</v>
      </c>
      <c r="M52" s="2" t="s">
        <v>119</v>
      </c>
      <c r="N52" s="2" t="s">
        <v>112</v>
      </c>
      <c r="U52" s="2" t="s">
        <v>276</v>
      </c>
    </row>
    <row r="53" spans="1:21">
      <c r="A53" s="2" t="s">
        <v>19</v>
      </c>
      <c r="B53" s="2" t="s">
        <v>169</v>
      </c>
      <c r="C53" s="2" t="s">
        <v>98</v>
      </c>
      <c r="D53" s="2" t="s">
        <v>93</v>
      </c>
      <c r="E53" s="11"/>
      <c r="F53" s="11"/>
      <c r="G53" s="11"/>
      <c r="H53" s="11"/>
      <c r="I53" s="12">
        <v>10</v>
      </c>
      <c r="J53" s="2" t="s">
        <v>158</v>
      </c>
      <c r="K53" s="2"/>
      <c r="L53" s="2" t="s">
        <v>92</v>
      </c>
      <c r="M53" s="2" t="s">
        <v>98</v>
      </c>
      <c r="N53" s="2" t="s">
        <v>112</v>
      </c>
      <c r="U53" s="2" t="s">
        <v>274</v>
      </c>
    </row>
    <row r="54" spans="1:21">
      <c r="A54" s="2" t="s">
        <v>20</v>
      </c>
      <c r="B54" s="2" t="s">
        <v>170</v>
      </c>
      <c r="C54" s="2" t="s">
        <v>98</v>
      </c>
      <c r="D54" s="2" t="s">
        <v>93</v>
      </c>
      <c r="E54" s="19" t="s">
        <v>252</v>
      </c>
      <c r="F54" s="19"/>
      <c r="G54" s="19"/>
      <c r="H54" s="19"/>
      <c r="I54" s="12">
        <v>11</v>
      </c>
      <c r="J54" s="2" t="s">
        <v>286</v>
      </c>
      <c r="K54" s="2"/>
      <c r="L54" s="2" t="s">
        <v>92</v>
      </c>
      <c r="M54" s="2" t="s">
        <v>98</v>
      </c>
      <c r="N54" s="2" t="s">
        <v>112</v>
      </c>
    </row>
    <row r="55" spans="1:21">
      <c r="A55" s="2" t="s">
        <v>21</v>
      </c>
      <c r="B55" s="2" t="s">
        <v>171</v>
      </c>
      <c r="C55" s="2" t="s">
        <v>98</v>
      </c>
      <c r="D55" s="2" t="s">
        <v>93</v>
      </c>
      <c r="E55" s="11"/>
      <c r="F55" s="11"/>
      <c r="G55" s="11"/>
      <c r="H55" s="11"/>
      <c r="I55" s="12">
        <v>12</v>
      </c>
      <c r="J55" s="2" t="s">
        <v>159</v>
      </c>
      <c r="K55" s="2"/>
      <c r="L55" s="2" t="s">
        <v>92</v>
      </c>
      <c r="M55" s="2" t="s">
        <v>98</v>
      </c>
      <c r="N55" s="2" t="s">
        <v>112</v>
      </c>
    </row>
    <row r="56" spans="1:21">
      <c r="A56" s="2" t="s">
        <v>25</v>
      </c>
      <c r="B56" s="2" t="s">
        <v>236</v>
      </c>
      <c r="C56" s="2" t="s">
        <v>98</v>
      </c>
      <c r="D56" s="2" t="s">
        <v>93</v>
      </c>
      <c r="E56" s="1"/>
      <c r="F56" s="1"/>
      <c r="G56" s="1"/>
      <c r="H56" s="1"/>
      <c r="I56" s="12">
        <v>13</v>
      </c>
      <c r="J56" s="2" t="s">
        <v>160</v>
      </c>
      <c r="K56" s="2"/>
      <c r="L56" s="2" t="s">
        <v>92</v>
      </c>
      <c r="M56" s="2" t="s">
        <v>98</v>
      </c>
      <c r="N56" s="2" t="s">
        <v>112</v>
      </c>
    </row>
    <row r="57" spans="1:21">
      <c r="A57" s="2" t="s">
        <v>65</v>
      </c>
      <c r="B57" s="2" t="s">
        <v>237</v>
      </c>
      <c r="C57" s="2" t="s">
        <v>98</v>
      </c>
      <c r="D57" s="2" t="s">
        <v>93</v>
      </c>
      <c r="E57" s="1"/>
      <c r="F57" s="1"/>
      <c r="G57" s="1"/>
      <c r="H57" s="1"/>
      <c r="I57" s="12">
        <v>14</v>
      </c>
      <c r="J57" s="2" t="s">
        <v>181</v>
      </c>
      <c r="K57" s="2"/>
      <c r="L57" s="2" t="s">
        <v>92</v>
      </c>
      <c r="M57" s="2" t="s">
        <v>98</v>
      </c>
      <c r="N57" s="2" t="s">
        <v>112</v>
      </c>
    </row>
    <row r="58" spans="1:21">
      <c r="A58" s="2" t="s">
        <v>85</v>
      </c>
      <c r="B58" s="2" t="s">
        <v>30</v>
      </c>
      <c r="C58" s="2" t="s">
        <v>98</v>
      </c>
      <c r="D58" s="2" t="s">
        <v>93</v>
      </c>
      <c r="E58" s="1"/>
      <c r="F58" s="1"/>
      <c r="G58" s="1"/>
      <c r="H58" s="1"/>
      <c r="I58" s="12">
        <v>15</v>
      </c>
      <c r="J58" s="2" t="s">
        <v>182</v>
      </c>
      <c r="K58" s="2"/>
      <c r="L58" s="2" t="s">
        <v>92</v>
      </c>
      <c r="M58" s="2" t="s">
        <v>98</v>
      </c>
      <c r="N58" s="2" t="s">
        <v>112</v>
      </c>
    </row>
    <row r="59" spans="1:21">
      <c r="A59" s="10"/>
      <c r="B59" s="10"/>
      <c r="C59" s="10"/>
      <c r="D59" s="11"/>
      <c r="E59" s="1"/>
      <c r="F59" s="1"/>
      <c r="G59" s="1"/>
      <c r="H59" s="1"/>
    </row>
    <row r="60" spans="1:21" s="7" customFormat="1">
      <c r="A60" s="5"/>
      <c r="B60" s="5"/>
      <c r="C60" s="5"/>
      <c r="D60" s="6"/>
      <c r="E60" s="6"/>
      <c r="F60" s="6"/>
      <c r="G60" s="6"/>
      <c r="H60" s="6"/>
      <c r="I60" s="22" t="s">
        <v>265</v>
      </c>
    </row>
    <row r="61" spans="1:21">
      <c r="A61" s="2" t="s">
        <v>136</v>
      </c>
      <c r="B61" s="2" t="s">
        <v>316</v>
      </c>
      <c r="C61" s="2" t="s">
        <v>135</v>
      </c>
      <c r="D61" s="2" t="s">
        <v>93</v>
      </c>
      <c r="E61" s="11"/>
      <c r="F61" s="11"/>
      <c r="G61" s="11"/>
      <c r="H61" s="11"/>
      <c r="I61" s="12">
        <v>0</v>
      </c>
      <c r="J61" s="2" t="s">
        <v>287</v>
      </c>
      <c r="K61" s="2"/>
      <c r="L61" s="2" t="s">
        <v>153</v>
      </c>
      <c r="M61" s="2" t="s">
        <v>135</v>
      </c>
      <c r="N61" s="2" t="s">
        <v>112</v>
      </c>
    </row>
    <row r="62" spans="1:21">
      <c r="A62" s="2" t="s">
        <v>123</v>
      </c>
      <c r="B62" s="2" t="s">
        <v>315</v>
      </c>
      <c r="C62" s="2" t="s">
        <v>135</v>
      </c>
      <c r="D62" s="2" t="s">
        <v>93</v>
      </c>
      <c r="E62" s="11"/>
      <c r="F62" s="11"/>
      <c r="G62" s="11"/>
      <c r="H62" s="11"/>
      <c r="I62" s="12">
        <v>1</v>
      </c>
      <c r="J62" s="2" t="s">
        <v>288</v>
      </c>
      <c r="K62" s="2"/>
      <c r="L62" s="2" t="s">
        <v>223</v>
      </c>
      <c r="M62" s="2" t="s">
        <v>135</v>
      </c>
      <c r="N62" s="2" t="s">
        <v>112</v>
      </c>
    </row>
    <row r="63" spans="1:21">
      <c r="A63" s="2" t="s">
        <v>124</v>
      </c>
      <c r="B63" s="2" t="s">
        <v>313</v>
      </c>
      <c r="C63" s="2" t="s">
        <v>99</v>
      </c>
      <c r="D63" s="2" t="s">
        <v>93</v>
      </c>
      <c r="E63" s="11"/>
      <c r="F63" s="11"/>
      <c r="G63" s="11"/>
      <c r="H63" s="11"/>
      <c r="I63" s="12">
        <v>2</v>
      </c>
      <c r="J63" s="2" t="s">
        <v>183</v>
      </c>
      <c r="K63" s="2"/>
      <c r="L63" s="2" t="s">
        <v>162</v>
      </c>
      <c r="M63" s="2" t="s">
        <v>99</v>
      </c>
      <c r="N63" s="2" t="s">
        <v>112</v>
      </c>
    </row>
    <row r="64" spans="1:21">
      <c r="A64" s="2" t="s">
        <v>137</v>
      </c>
      <c r="B64" s="2" t="s">
        <v>322</v>
      </c>
      <c r="C64" s="2" t="s">
        <v>99</v>
      </c>
      <c r="D64" s="2" t="s">
        <v>93</v>
      </c>
      <c r="E64" s="19" t="s">
        <v>254</v>
      </c>
      <c r="F64" s="19"/>
      <c r="G64" s="19"/>
      <c r="H64" s="19"/>
      <c r="I64" s="12">
        <v>3</v>
      </c>
      <c r="J64" s="2" t="s">
        <v>289</v>
      </c>
      <c r="K64" s="2"/>
      <c r="L64" s="2" t="s">
        <v>174</v>
      </c>
      <c r="M64" s="2" t="s">
        <v>99</v>
      </c>
      <c r="N64" s="2" t="s">
        <v>112</v>
      </c>
      <c r="O64" s="17" t="s">
        <v>256</v>
      </c>
    </row>
    <row r="65" spans="1:16">
      <c r="A65" s="2" t="s">
        <v>26</v>
      </c>
      <c r="B65" s="2" t="s">
        <v>320</v>
      </c>
      <c r="C65" s="2" t="s">
        <v>99</v>
      </c>
      <c r="D65" s="2" t="s">
        <v>93</v>
      </c>
      <c r="E65" s="11"/>
      <c r="F65" s="11"/>
      <c r="G65" s="11"/>
      <c r="H65" s="11"/>
      <c r="I65" s="12">
        <v>4</v>
      </c>
      <c r="J65" s="2" t="s">
        <v>184</v>
      </c>
      <c r="K65" s="2"/>
      <c r="L65" s="2" t="s">
        <v>301</v>
      </c>
      <c r="M65" s="2" t="s">
        <v>99</v>
      </c>
      <c r="N65" s="2" t="s">
        <v>112</v>
      </c>
    </row>
    <row r="66" spans="1:16">
      <c r="A66" s="2" t="s">
        <v>27</v>
      </c>
      <c r="B66" s="2" t="s">
        <v>321</v>
      </c>
      <c r="C66" s="2" t="s">
        <v>99</v>
      </c>
      <c r="D66" s="2" t="s">
        <v>93</v>
      </c>
      <c r="E66" s="11"/>
      <c r="F66" s="11"/>
      <c r="G66" s="11"/>
      <c r="H66" s="11"/>
      <c r="I66" s="12">
        <v>5</v>
      </c>
      <c r="J66" s="2" t="s">
        <v>185</v>
      </c>
      <c r="K66" s="2"/>
      <c r="L66" s="2" t="s">
        <v>302</v>
      </c>
      <c r="M66" s="2" t="s">
        <v>99</v>
      </c>
      <c r="N66" s="2" t="s">
        <v>112</v>
      </c>
    </row>
    <row r="67" spans="1:16">
      <c r="A67" s="2" t="s">
        <v>28</v>
      </c>
      <c r="B67" s="2" t="s">
        <v>30</v>
      </c>
      <c r="C67" s="2" t="s">
        <v>99</v>
      </c>
      <c r="D67" s="2" t="s">
        <v>93</v>
      </c>
      <c r="E67" s="11"/>
      <c r="F67" s="11"/>
      <c r="G67" s="11"/>
      <c r="H67" s="11"/>
      <c r="I67" s="12">
        <v>6</v>
      </c>
      <c r="J67" s="2" t="s">
        <v>186</v>
      </c>
      <c r="K67" s="2"/>
      <c r="L67" s="2" t="s">
        <v>303</v>
      </c>
      <c r="M67" s="2" t="s">
        <v>99</v>
      </c>
      <c r="N67" s="2" t="s">
        <v>112</v>
      </c>
    </row>
    <row r="68" spans="1:16">
      <c r="A68" s="2" t="s">
        <v>29</v>
      </c>
      <c r="B68" s="2" t="s">
        <v>30</v>
      </c>
      <c r="C68" s="2" t="s">
        <v>99</v>
      </c>
      <c r="D68" s="2" t="s">
        <v>93</v>
      </c>
      <c r="E68" s="11"/>
      <c r="F68" s="11"/>
      <c r="G68" s="11"/>
      <c r="H68" s="11"/>
      <c r="I68" s="12">
        <v>7</v>
      </c>
      <c r="J68" s="2" t="s">
        <v>187</v>
      </c>
      <c r="K68" s="2"/>
      <c r="L68" s="2" t="s">
        <v>304</v>
      </c>
      <c r="M68" s="2" t="s">
        <v>99</v>
      </c>
      <c r="N68" s="2" t="s">
        <v>112</v>
      </c>
      <c r="P68" t="s">
        <v>59</v>
      </c>
    </row>
    <row r="69" spans="1:16">
      <c r="E69" s="11"/>
      <c r="F69" s="11"/>
      <c r="G69" s="11"/>
      <c r="H69" s="11"/>
      <c r="I69" s="12"/>
    </row>
    <row r="70" spans="1:16">
      <c r="A70" s="2" t="s">
        <v>140</v>
      </c>
      <c r="B70" s="2" t="s">
        <v>224</v>
      </c>
      <c r="C70" s="2" t="s">
        <v>99</v>
      </c>
      <c r="D70" s="2" t="s">
        <v>93</v>
      </c>
      <c r="E70" s="11"/>
      <c r="F70" s="11"/>
      <c r="G70" s="11"/>
      <c r="H70" s="11"/>
      <c r="I70" s="12">
        <v>8</v>
      </c>
      <c r="J70" s="23" t="s">
        <v>290</v>
      </c>
      <c r="K70" s="23"/>
      <c r="L70" s="23" t="s">
        <v>313</v>
      </c>
      <c r="M70" s="2" t="s">
        <v>135</v>
      </c>
      <c r="N70" s="2" t="s">
        <v>112</v>
      </c>
    </row>
    <row r="71" spans="1:16">
      <c r="A71" s="2" t="s">
        <v>141</v>
      </c>
      <c r="B71" s="2" t="s">
        <v>225</v>
      </c>
      <c r="C71" s="2" t="s">
        <v>99</v>
      </c>
      <c r="D71" s="2" t="s">
        <v>93</v>
      </c>
      <c r="E71" s="11"/>
      <c r="F71" s="11"/>
      <c r="G71" s="11"/>
      <c r="H71" s="11"/>
      <c r="I71" s="12">
        <v>9</v>
      </c>
      <c r="J71" s="23" t="s">
        <v>291</v>
      </c>
      <c r="K71" s="23"/>
      <c r="L71" s="23" t="s">
        <v>317</v>
      </c>
      <c r="M71" s="2" t="s">
        <v>135</v>
      </c>
      <c r="N71" s="2" t="s">
        <v>112</v>
      </c>
    </row>
    <row r="72" spans="1:16">
      <c r="A72" s="2" t="s">
        <v>33</v>
      </c>
      <c r="B72" s="2" t="s">
        <v>161</v>
      </c>
      <c r="C72" s="2" t="s">
        <v>99</v>
      </c>
      <c r="D72" s="2" t="s">
        <v>93</v>
      </c>
      <c r="E72" s="11"/>
      <c r="F72" s="11"/>
      <c r="G72" s="11"/>
      <c r="H72" s="11"/>
      <c r="I72" s="12">
        <v>10</v>
      </c>
      <c r="J72" s="2" t="s">
        <v>188</v>
      </c>
      <c r="K72" s="2"/>
      <c r="L72" s="2" t="s">
        <v>319</v>
      </c>
      <c r="M72" s="2" t="s">
        <v>135</v>
      </c>
      <c r="N72" s="2" t="s">
        <v>112</v>
      </c>
      <c r="O72" s="17" t="s">
        <v>257</v>
      </c>
    </row>
    <row r="73" spans="1:16">
      <c r="A73" s="2" t="s">
        <v>34</v>
      </c>
      <c r="B73" s="2" t="s">
        <v>152</v>
      </c>
      <c r="C73" s="2" t="s">
        <v>99</v>
      </c>
      <c r="D73" s="2" t="s">
        <v>93</v>
      </c>
      <c r="E73" s="19" t="s">
        <v>255</v>
      </c>
      <c r="F73" s="19"/>
      <c r="G73" s="19"/>
      <c r="H73" s="19"/>
      <c r="I73" s="12">
        <v>11</v>
      </c>
      <c r="J73" s="2" t="s">
        <v>292</v>
      </c>
      <c r="K73" s="2"/>
      <c r="L73" s="2" t="s">
        <v>92</v>
      </c>
      <c r="M73" s="2" t="s">
        <v>99</v>
      </c>
      <c r="N73" s="2" t="s">
        <v>112</v>
      </c>
      <c r="P73">
        <v>3</v>
      </c>
    </row>
    <row r="74" spans="1:16">
      <c r="A74" s="2" t="s">
        <v>35</v>
      </c>
      <c r="B74" s="2" t="s">
        <v>55</v>
      </c>
      <c r="C74" s="2" t="s">
        <v>99</v>
      </c>
      <c r="D74" s="2" t="s">
        <v>93</v>
      </c>
      <c r="E74" s="11"/>
      <c r="F74" s="11"/>
      <c r="G74" s="11"/>
      <c r="H74" s="11"/>
      <c r="I74" s="12">
        <v>12</v>
      </c>
      <c r="J74" s="23" t="s">
        <v>293</v>
      </c>
      <c r="K74" s="23"/>
      <c r="L74" s="23" t="s">
        <v>314</v>
      </c>
      <c r="M74" s="2" t="s">
        <v>99</v>
      </c>
      <c r="N74" s="2" t="s">
        <v>112</v>
      </c>
    </row>
    <row r="75" spans="1:16">
      <c r="A75" s="2" t="s">
        <v>36</v>
      </c>
      <c r="B75" s="2" t="s">
        <v>22</v>
      </c>
      <c r="C75" s="2" t="s">
        <v>99</v>
      </c>
      <c r="D75" s="2" t="s">
        <v>93</v>
      </c>
      <c r="E75" s="11"/>
      <c r="F75" s="11"/>
      <c r="G75" s="11"/>
      <c r="H75" s="11"/>
      <c r="I75" s="12">
        <v>13</v>
      </c>
      <c r="J75" s="23" t="s">
        <v>294</v>
      </c>
      <c r="K75" s="23"/>
      <c r="L75" s="23" t="s">
        <v>318</v>
      </c>
      <c r="M75" s="2" t="s">
        <v>99</v>
      </c>
      <c r="N75" s="2" t="s">
        <v>112</v>
      </c>
    </row>
    <row r="76" spans="1:16">
      <c r="A76" s="2" t="s">
        <v>37</v>
      </c>
      <c r="B76" s="2" t="s">
        <v>56</v>
      </c>
      <c r="C76" s="2" t="s">
        <v>99</v>
      </c>
      <c r="D76" s="2" t="s">
        <v>93</v>
      </c>
      <c r="E76" s="11"/>
      <c r="F76" s="11"/>
      <c r="G76" s="11"/>
      <c r="H76" s="11"/>
      <c r="I76" s="12">
        <v>14</v>
      </c>
      <c r="J76" s="2" t="s">
        <v>295</v>
      </c>
      <c r="K76" s="2"/>
      <c r="L76" s="2" t="s">
        <v>221</v>
      </c>
      <c r="M76" s="2" t="s">
        <v>99</v>
      </c>
      <c r="N76" s="2" t="s">
        <v>112</v>
      </c>
    </row>
    <row r="77" spans="1:16">
      <c r="A77" s="2" t="s">
        <v>38</v>
      </c>
      <c r="B77" s="2" t="s">
        <v>173</v>
      </c>
      <c r="C77" s="2" t="s">
        <v>99</v>
      </c>
      <c r="D77" s="2" t="s">
        <v>93</v>
      </c>
      <c r="E77" s="11"/>
      <c r="F77" s="11"/>
      <c r="G77" s="11"/>
      <c r="H77" s="11"/>
      <c r="I77" s="12">
        <v>15</v>
      </c>
      <c r="J77" s="2" t="s">
        <v>296</v>
      </c>
      <c r="K77" s="2"/>
      <c r="L77" s="2" t="s">
        <v>221</v>
      </c>
      <c r="M77" s="2" t="s">
        <v>99</v>
      </c>
      <c r="N77" s="2" t="s">
        <v>112</v>
      </c>
    </row>
    <row r="78" spans="1:16" s="7" customFormat="1">
      <c r="A78" s="5"/>
      <c r="B78" s="5"/>
      <c r="C78" s="5"/>
      <c r="D78" s="6"/>
      <c r="E78" s="6"/>
      <c r="F78" s="6"/>
      <c r="G78" s="6"/>
      <c r="H78" s="6"/>
      <c r="I78" s="22" t="s">
        <v>266</v>
      </c>
    </row>
    <row r="79" spans="1:16">
      <c r="A79" s="2" t="s">
        <v>142</v>
      </c>
      <c r="B79" s="2" t="s">
        <v>57</v>
      </c>
      <c r="C79" s="2" t="s">
        <v>145</v>
      </c>
      <c r="D79" s="2" t="s">
        <v>93</v>
      </c>
      <c r="E79" s="11"/>
      <c r="F79" s="11"/>
      <c r="G79" s="11"/>
      <c r="H79" s="11"/>
      <c r="I79" s="11">
        <v>0</v>
      </c>
    </row>
    <row r="80" spans="1:16">
      <c r="A80" s="2" t="s">
        <v>138</v>
      </c>
      <c r="B80" s="2" t="s">
        <v>23</v>
      </c>
      <c r="C80" s="2" t="s">
        <v>145</v>
      </c>
      <c r="D80" s="2" t="s">
        <v>93</v>
      </c>
      <c r="E80" s="11"/>
      <c r="F80" s="11"/>
      <c r="G80" s="11"/>
      <c r="H80" s="11"/>
      <c r="I80" s="11">
        <v>1</v>
      </c>
      <c r="N80">
        <f>SUM(M5:N79)</f>
        <v>0</v>
      </c>
    </row>
    <row r="81" spans="1:16">
      <c r="A81" s="2" t="s">
        <v>139</v>
      </c>
      <c r="B81" s="2" t="s">
        <v>58</v>
      </c>
      <c r="C81" s="2" t="s">
        <v>100</v>
      </c>
      <c r="D81" s="2" t="s">
        <v>93</v>
      </c>
      <c r="E81" s="11"/>
      <c r="F81" s="11"/>
      <c r="G81" s="11"/>
      <c r="H81" s="11"/>
      <c r="I81" s="11">
        <v>2</v>
      </c>
    </row>
    <row r="82" spans="1:16">
      <c r="A82" s="2" t="s">
        <v>46</v>
      </c>
      <c r="B82" s="2" t="s">
        <v>24</v>
      </c>
      <c r="C82" s="2" t="s">
        <v>100</v>
      </c>
      <c r="D82" s="2" t="s">
        <v>93</v>
      </c>
      <c r="E82" s="11"/>
      <c r="F82" s="11"/>
      <c r="G82" s="11"/>
      <c r="H82" s="11"/>
      <c r="I82" s="11">
        <v>3</v>
      </c>
    </row>
    <row r="83" spans="1:16">
      <c r="A83" s="2" t="s">
        <v>47</v>
      </c>
      <c r="B83" s="2" t="s">
        <v>300</v>
      </c>
      <c r="C83" s="2" t="s">
        <v>100</v>
      </c>
      <c r="D83" s="2" t="s">
        <v>93</v>
      </c>
      <c r="E83" s="19" t="s">
        <v>258</v>
      </c>
      <c r="F83" s="19"/>
      <c r="G83" s="19"/>
      <c r="H83" s="19"/>
      <c r="I83" s="11">
        <v>4</v>
      </c>
    </row>
    <row r="84" spans="1:16">
      <c r="A84" s="2" t="s">
        <v>48</v>
      </c>
      <c r="B84" s="2" t="s">
        <v>300</v>
      </c>
      <c r="C84" s="2" t="s">
        <v>100</v>
      </c>
      <c r="D84" s="2" t="s">
        <v>93</v>
      </c>
      <c r="E84" s="11"/>
      <c r="F84" s="11"/>
      <c r="G84" s="11"/>
      <c r="H84" s="11"/>
      <c r="I84" s="11">
        <v>5</v>
      </c>
    </row>
    <row r="85" spans="1:16">
      <c r="A85" s="2" t="s">
        <v>49</v>
      </c>
      <c r="B85" s="2" t="s">
        <v>300</v>
      </c>
      <c r="C85" s="2" t="s">
        <v>100</v>
      </c>
      <c r="D85" s="2" t="s">
        <v>93</v>
      </c>
      <c r="E85" s="11"/>
      <c r="F85" s="11"/>
      <c r="G85" s="11"/>
      <c r="H85" s="11"/>
      <c r="I85" s="11">
        <v>6</v>
      </c>
      <c r="P85" t="s">
        <v>204</v>
      </c>
    </row>
    <row r="86" spans="1:16">
      <c r="A86" s="2" t="s">
        <v>50</v>
      </c>
      <c r="B86" s="2" t="s">
        <v>300</v>
      </c>
      <c r="C86" s="2" t="s">
        <v>100</v>
      </c>
      <c r="D86" s="2" t="s">
        <v>93</v>
      </c>
      <c r="E86" s="11"/>
      <c r="F86" s="11"/>
      <c r="G86" s="11"/>
      <c r="H86" s="11"/>
      <c r="I86" s="11">
        <v>7</v>
      </c>
    </row>
    <row r="87" spans="1:16">
      <c r="A87" s="10"/>
      <c r="B87" s="10"/>
      <c r="C87" s="10"/>
      <c r="D87" s="11"/>
      <c r="E87" s="11"/>
      <c r="F87" s="11"/>
      <c r="G87" s="11"/>
      <c r="H87" s="11"/>
    </row>
    <row r="88" spans="1:16">
      <c r="A88" s="2" t="s">
        <v>143</v>
      </c>
      <c r="B88" s="2" t="s">
        <v>230</v>
      </c>
      <c r="C88" s="2" t="s">
        <v>145</v>
      </c>
      <c r="D88" s="2" t="s">
        <v>93</v>
      </c>
      <c r="E88" s="11"/>
      <c r="F88" s="11"/>
      <c r="G88" s="11"/>
      <c r="H88" s="11"/>
      <c r="I88" s="11">
        <v>8</v>
      </c>
    </row>
    <row r="89" spans="1:16">
      <c r="A89" s="2" t="s">
        <v>51</v>
      </c>
      <c r="B89" s="2" t="s">
        <v>77</v>
      </c>
      <c r="C89" s="2" t="s">
        <v>145</v>
      </c>
      <c r="D89" s="2" t="s">
        <v>93</v>
      </c>
      <c r="E89" s="11"/>
      <c r="F89" s="11"/>
      <c r="G89" s="11"/>
      <c r="H89" s="11"/>
      <c r="I89" s="11">
        <v>9</v>
      </c>
    </row>
    <row r="90" spans="1:16">
      <c r="A90" s="2" t="s">
        <v>52</v>
      </c>
      <c r="B90" s="2" t="s">
        <v>231</v>
      </c>
      <c r="C90" s="2" t="s">
        <v>100</v>
      </c>
      <c r="D90" s="2" t="s">
        <v>93</v>
      </c>
      <c r="E90" s="11"/>
      <c r="F90" s="11"/>
      <c r="G90" s="11"/>
      <c r="H90" s="11"/>
      <c r="I90" s="11">
        <v>10</v>
      </c>
    </row>
    <row r="91" spans="1:16">
      <c r="A91" s="2" t="s">
        <v>53</v>
      </c>
      <c r="B91" s="2" t="s">
        <v>163</v>
      </c>
      <c r="C91" s="2" t="s">
        <v>100</v>
      </c>
      <c r="D91" s="2" t="s">
        <v>93</v>
      </c>
      <c r="E91" s="19" t="s">
        <v>259</v>
      </c>
      <c r="F91" s="19"/>
      <c r="G91" s="19"/>
      <c r="H91" s="19"/>
      <c r="I91" s="11">
        <v>11</v>
      </c>
    </row>
    <row r="92" spans="1:16">
      <c r="A92" s="2" t="s">
        <v>54</v>
      </c>
      <c r="B92" s="2" t="s">
        <v>232</v>
      </c>
      <c r="C92" s="2" t="s">
        <v>100</v>
      </c>
      <c r="D92" s="2" t="s">
        <v>93</v>
      </c>
      <c r="E92" s="11"/>
      <c r="F92" s="11"/>
      <c r="G92" s="11"/>
      <c r="H92" s="11"/>
      <c r="I92" s="11">
        <v>12</v>
      </c>
    </row>
    <row r="93" spans="1:16">
      <c r="A93" s="2" t="s">
        <v>66</v>
      </c>
      <c r="B93" s="2" t="s">
        <v>164</v>
      </c>
      <c r="C93" s="2" t="s">
        <v>100</v>
      </c>
      <c r="D93" s="2" t="s">
        <v>93</v>
      </c>
      <c r="I93" s="11">
        <v>13</v>
      </c>
      <c r="P93">
        <v>4</v>
      </c>
    </row>
    <row r="94" spans="1:16">
      <c r="A94" s="2" t="s">
        <v>68</v>
      </c>
      <c r="B94" s="2" t="s">
        <v>234</v>
      </c>
      <c r="C94" s="2" t="s">
        <v>100</v>
      </c>
      <c r="D94" s="2" t="s">
        <v>93</v>
      </c>
      <c r="I94" s="11">
        <v>14</v>
      </c>
    </row>
    <row r="95" spans="1:16">
      <c r="A95" s="2" t="s">
        <v>69</v>
      </c>
      <c r="B95" s="2" t="s">
        <v>233</v>
      </c>
      <c r="C95" s="2" t="s">
        <v>100</v>
      </c>
      <c r="D95" s="2" t="s">
        <v>93</v>
      </c>
      <c r="I95" s="11">
        <v>15</v>
      </c>
    </row>
    <row r="96" spans="1:16">
      <c r="A96" s="13"/>
      <c r="B96" s="13"/>
      <c r="C96" s="12"/>
      <c r="D96" s="12"/>
    </row>
    <row r="97" spans="1:12">
      <c r="A97" s="2" t="s">
        <v>144</v>
      </c>
      <c r="B97" s="2" t="s">
        <v>235</v>
      </c>
      <c r="C97" s="2" t="s">
        <v>146</v>
      </c>
      <c r="D97" s="2" t="s">
        <v>93</v>
      </c>
      <c r="I97" s="11">
        <v>16</v>
      </c>
    </row>
    <row r="98" spans="1:12">
      <c r="A98" s="2" t="s">
        <v>70</v>
      </c>
      <c r="B98" s="2" t="s">
        <v>86</v>
      </c>
      <c r="C98" s="2" t="s">
        <v>146</v>
      </c>
      <c r="D98" s="2" t="s">
        <v>93</v>
      </c>
      <c r="I98" s="11">
        <v>17</v>
      </c>
    </row>
    <row r="99" spans="1:12">
      <c r="A99" s="2" t="s">
        <v>71</v>
      </c>
      <c r="B99" s="2" t="s">
        <v>17</v>
      </c>
      <c r="C99" s="2" t="s">
        <v>101</v>
      </c>
      <c r="D99" s="2" t="s">
        <v>93</v>
      </c>
      <c r="I99" s="11">
        <v>18</v>
      </c>
    </row>
    <row r="100" spans="1:12">
      <c r="A100" s="2" t="s">
        <v>72</v>
      </c>
      <c r="B100" s="2" t="s">
        <v>172</v>
      </c>
      <c r="C100" s="2" t="s">
        <v>101</v>
      </c>
      <c r="D100" s="2" t="s">
        <v>93</v>
      </c>
      <c r="E100" s="17" t="s">
        <v>260</v>
      </c>
      <c r="F100" s="19"/>
      <c r="G100" s="19"/>
      <c r="H100" s="19"/>
      <c r="I100" s="11">
        <v>19</v>
      </c>
    </row>
    <row r="101" spans="1:12">
      <c r="A101" s="2" t="s">
        <v>73</v>
      </c>
      <c r="B101" s="2" t="s">
        <v>30</v>
      </c>
      <c r="C101" s="2" t="s">
        <v>101</v>
      </c>
      <c r="D101" s="2" t="s">
        <v>93</v>
      </c>
      <c r="I101" s="11">
        <v>20</v>
      </c>
    </row>
    <row r="102" spans="1:12">
      <c r="A102" s="2" t="s">
        <v>74</v>
      </c>
      <c r="B102" s="2" t="s">
        <v>30</v>
      </c>
      <c r="C102" s="2" t="s">
        <v>101</v>
      </c>
      <c r="D102" s="2" t="s">
        <v>93</v>
      </c>
      <c r="I102" s="11">
        <v>21</v>
      </c>
    </row>
    <row r="103" spans="1:12">
      <c r="A103" s="2" t="s">
        <v>75</v>
      </c>
      <c r="B103" s="2" t="s">
        <v>30</v>
      </c>
      <c r="C103" s="2" t="s">
        <v>101</v>
      </c>
      <c r="D103" s="2" t="s">
        <v>93</v>
      </c>
      <c r="I103" s="11">
        <v>22</v>
      </c>
    </row>
    <row r="104" spans="1:12">
      <c r="A104" s="2" t="s">
        <v>76</v>
      </c>
      <c r="B104" s="2" t="s">
        <v>30</v>
      </c>
      <c r="C104" s="2" t="s">
        <v>101</v>
      </c>
      <c r="D104" s="2" t="s">
        <v>93</v>
      </c>
      <c r="I104" s="11">
        <v>23</v>
      </c>
    </row>
    <row r="105" spans="1:12">
      <c r="A105" s="12"/>
      <c r="B105" s="13"/>
      <c r="C105" s="12"/>
      <c r="D105" s="12"/>
      <c r="K105" t="s">
        <v>88</v>
      </c>
      <c r="L105">
        <f>32+L106</f>
        <v>96</v>
      </c>
    </row>
    <row r="106" spans="1:12">
      <c r="A106" s="2" t="s">
        <v>190</v>
      </c>
      <c r="B106" s="2" t="s">
        <v>30</v>
      </c>
      <c r="C106" s="2" t="s">
        <v>146</v>
      </c>
      <c r="D106" s="2" t="s">
        <v>93</v>
      </c>
      <c r="I106" s="11">
        <v>24</v>
      </c>
      <c r="K106" t="s">
        <v>87</v>
      </c>
      <c r="L106">
        <f>16*4</f>
        <v>64</v>
      </c>
    </row>
    <row r="107" spans="1:12">
      <c r="A107" s="2" t="s">
        <v>191</v>
      </c>
      <c r="B107" s="2" t="s">
        <v>30</v>
      </c>
      <c r="C107" s="2" t="s">
        <v>146</v>
      </c>
      <c r="D107" s="2" t="s">
        <v>93</v>
      </c>
      <c r="I107" s="11">
        <v>25</v>
      </c>
    </row>
    <row r="108" spans="1:12">
      <c r="A108" s="2" t="s">
        <v>192</v>
      </c>
      <c r="B108" s="2" t="s">
        <v>30</v>
      </c>
      <c r="C108" s="2" t="s">
        <v>101</v>
      </c>
      <c r="D108" s="2" t="s">
        <v>93</v>
      </c>
      <c r="I108" s="11">
        <v>26</v>
      </c>
    </row>
    <row r="109" spans="1:12">
      <c r="A109" s="2" t="s">
        <v>193</v>
      </c>
      <c r="B109" s="2" t="s">
        <v>30</v>
      </c>
      <c r="C109" s="2" t="s">
        <v>101</v>
      </c>
      <c r="D109" s="2" t="s">
        <v>93</v>
      </c>
      <c r="I109" s="11">
        <v>27</v>
      </c>
    </row>
    <row r="110" spans="1:12">
      <c r="A110" s="2" t="s">
        <v>194</v>
      </c>
      <c r="B110" s="2" t="s">
        <v>30</v>
      </c>
      <c r="C110" s="2" t="s">
        <v>101</v>
      </c>
      <c r="D110" s="2" t="s">
        <v>93</v>
      </c>
      <c r="I110" s="11">
        <v>28</v>
      </c>
    </row>
    <row r="111" spans="1:12">
      <c r="A111" s="2" t="s">
        <v>195</v>
      </c>
      <c r="B111" s="2" t="s">
        <v>30</v>
      </c>
      <c r="C111" s="2" t="s">
        <v>101</v>
      </c>
      <c r="D111" s="2" t="s">
        <v>93</v>
      </c>
      <c r="I111" s="11">
        <v>29</v>
      </c>
    </row>
    <row r="112" spans="1:12">
      <c r="A112" s="2" t="s">
        <v>196</v>
      </c>
      <c r="B112" s="2" t="s">
        <v>30</v>
      </c>
      <c r="C112" s="2" t="s">
        <v>101</v>
      </c>
      <c r="D112" s="2" t="s">
        <v>93</v>
      </c>
      <c r="I112" s="11">
        <v>30</v>
      </c>
    </row>
    <row r="113" spans="1:9">
      <c r="A113" s="2" t="s">
        <v>197</v>
      </c>
      <c r="B113" s="2" t="s">
        <v>30</v>
      </c>
      <c r="C113" s="2" t="s">
        <v>101</v>
      </c>
      <c r="D113" s="2" t="s">
        <v>93</v>
      </c>
      <c r="I113" s="11">
        <v>31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2025-03-08T06:39:24Z</dcterms:modified>
</cp:coreProperties>
</file>